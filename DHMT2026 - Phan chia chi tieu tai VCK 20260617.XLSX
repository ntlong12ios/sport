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pp xep lich thi dau\"/>
    </mc:Choice>
  </mc:AlternateContent>
  <xr:revisionPtr revIDLastSave="0" documentId="13_ncr:1_{7E43543A-A398-4178-AAD3-727B139B98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ong hop" sheetId="1" r:id="rId1"/>
    <sheet name="VL" sheetId="2" r:id="rId2"/>
  </sheets>
  <definedNames>
    <definedName name="_xlnm._FilterDatabase" localSheetId="0" hidden="1">'Tong hop'!$E$6:$AR$87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t7e+akZZnXQTK+uXN/pfD1s5dlzAfGiBd372KXhBHOM="/>
    </ext>
  </extLst>
</workbook>
</file>

<file path=xl/calcChain.xml><?xml version="1.0" encoding="utf-8"?>
<calcChain xmlns="http://schemas.openxmlformats.org/spreadsheetml/2006/main">
  <c r="AN87" i="1" l="1"/>
  <c r="AL87" i="1"/>
  <c r="AH87" i="1"/>
  <c r="AF87" i="1"/>
  <c r="AD87" i="1"/>
  <c r="AB87" i="1"/>
  <c r="X87" i="1"/>
  <c r="V87" i="1"/>
  <c r="T87" i="1"/>
  <c r="R87" i="1"/>
  <c r="P87" i="1"/>
  <c r="L87" i="1"/>
  <c r="H87" i="1"/>
  <c r="AQ79" i="1"/>
  <c r="AO79" i="1"/>
  <c r="AM79" i="1"/>
  <c r="AK79" i="1"/>
  <c r="AI79" i="1"/>
  <c r="AG79" i="1"/>
  <c r="AE79" i="1"/>
  <c r="AC79" i="1"/>
  <c r="AA79" i="1"/>
  <c r="Y79" i="1"/>
  <c r="W79" i="1"/>
  <c r="U79" i="1"/>
  <c r="S79" i="1"/>
  <c r="Q79" i="1"/>
  <c r="O79" i="1"/>
  <c r="M79" i="1"/>
  <c r="K79" i="1"/>
  <c r="I79" i="1"/>
  <c r="G79" i="1"/>
  <c r="E79" i="1"/>
  <c r="AQ70" i="1"/>
  <c r="AO70" i="1"/>
  <c r="AM70" i="1"/>
  <c r="AK70" i="1"/>
  <c r="AI70" i="1"/>
  <c r="AG70" i="1"/>
  <c r="AE70" i="1"/>
  <c r="AC70" i="1"/>
  <c r="AA70" i="1"/>
  <c r="Y70" i="1"/>
  <c r="W70" i="1"/>
  <c r="U70" i="1"/>
  <c r="S70" i="1"/>
  <c r="Q70" i="1"/>
  <c r="O70" i="1"/>
  <c r="M70" i="1"/>
  <c r="K70" i="1"/>
  <c r="I70" i="1"/>
  <c r="G70" i="1"/>
  <c r="E70" i="1"/>
  <c r="AQ61" i="1"/>
  <c r="AO61" i="1"/>
  <c r="AM61" i="1"/>
  <c r="AK61" i="1"/>
  <c r="AI61" i="1"/>
  <c r="AG61" i="1"/>
  <c r="AE61" i="1"/>
  <c r="AC61" i="1"/>
  <c r="AA61" i="1"/>
  <c r="Y61" i="1"/>
  <c r="W61" i="1"/>
  <c r="U61" i="1"/>
  <c r="S61" i="1"/>
  <c r="Q61" i="1"/>
  <c r="O61" i="1"/>
  <c r="M61" i="1"/>
  <c r="K61" i="1"/>
  <c r="I61" i="1"/>
  <c r="G61" i="1"/>
  <c r="E61" i="1"/>
  <c r="AQ50" i="1"/>
  <c r="AO50" i="1"/>
  <c r="AM50" i="1"/>
  <c r="AK50" i="1"/>
  <c r="AI50" i="1"/>
  <c r="AG50" i="1"/>
  <c r="AE50" i="1"/>
  <c r="AC50" i="1"/>
  <c r="AA50" i="1"/>
  <c r="Y50" i="1"/>
  <c r="W50" i="1"/>
  <c r="U50" i="1"/>
  <c r="S50" i="1"/>
  <c r="Q50" i="1"/>
  <c r="O50" i="1"/>
  <c r="M50" i="1"/>
  <c r="K50" i="1"/>
  <c r="I50" i="1"/>
  <c r="G50" i="1"/>
  <c r="E50" i="1"/>
  <c r="AQ41" i="1"/>
  <c r="AO41" i="1"/>
  <c r="AM41" i="1"/>
  <c r="AK41" i="1"/>
  <c r="AI41" i="1"/>
  <c r="AG41" i="1"/>
  <c r="AE41" i="1"/>
  <c r="AC41" i="1"/>
  <c r="AA41" i="1"/>
  <c r="Y41" i="1"/>
  <c r="W41" i="1"/>
  <c r="U41" i="1"/>
  <c r="S41" i="1"/>
  <c r="Q41" i="1"/>
  <c r="O41" i="1"/>
  <c r="M41" i="1"/>
  <c r="K41" i="1"/>
  <c r="I41" i="1"/>
  <c r="G41" i="1"/>
  <c r="E41" i="1"/>
  <c r="AQ32" i="1"/>
  <c r="AO32" i="1"/>
  <c r="AM32" i="1"/>
  <c r="AK32" i="1"/>
  <c r="AI32" i="1"/>
  <c r="AG32" i="1"/>
  <c r="AE32" i="1"/>
  <c r="AC32" i="1"/>
  <c r="AA32" i="1"/>
  <c r="Y32" i="1"/>
  <c r="W32" i="1"/>
  <c r="U32" i="1"/>
  <c r="S32" i="1"/>
  <c r="Q32" i="1"/>
  <c r="O32" i="1"/>
  <c r="M32" i="1"/>
  <c r="K32" i="1"/>
  <c r="I32" i="1"/>
  <c r="G32" i="1"/>
  <c r="E32" i="1"/>
  <c r="AQ24" i="1"/>
  <c r="AO24" i="1"/>
  <c r="AM24" i="1"/>
  <c r="AK24" i="1"/>
  <c r="AI24" i="1"/>
  <c r="AG24" i="1"/>
  <c r="AE24" i="1"/>
  <c r="AC24" i="1"/>
  <c r="AA24" i="1"/>
  <c r="Y24" i="1"/>
  <c r="W24" i="1"/>
  <c r="U24" i="1"/>
  <c r="S24" i="1"/>
  <c r="Q24" i="1"/>
  <c r="Q8" i="1" s="1"/>
  <c r="O24" i="1"/>
  <c r="M24" i="1"/>
  <c r="K24" i="1"/>
  <c r="I24" i="1"/>
  <c r="G24" i="1"/>
  <c r="E24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5" i="1" s="1"/>
  <c r="A26" i="1" s="1"/>
  <c r="A27" i="1" s="1"/>
  <c r="A28" i="1" s="1"/>
  <c r="A29" i="1" s="1"/>
  <c r="A30" i="1" s="1"/>
  <c r="A31" i="1" s="1"/>
  <c r="A33" i="1" s="1"/>
  <c r="A34" i="1" s="1"/>
  <c r="A35" i="1" s="1"/>
  <c r="A36" i="1" s="1"/>
  <c r="A37" i="1" s="1"/>
  <c r="A38" i="1" s="1"/>
  <c r="A39" i="1" s="1"/>
  <c r="A40" i="1" s="1"/>
  <c r="A42" i="1" s="1"/>
  <c r="A43" i="1" s="1"/>
  <c r="A44" i="1" s="1"/>
  <c r="A45" i="1" s="1"/>
  <c r="A46" i="1" s="1"/>
  <c r="A47" i="1" s="1"/>
  <c r="A48" i="1" s="1"/>
  <c r="A49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2" i="1" s="1"/>
  <c r="A63" i="1" s="1"/>
  <c r="A64" i="1" s="1"/>
  <c r="A65" i="1" s="1"/>
  <c r="A66" i="1" s="1"/>
  <c r="A67" i="1" s="1"/>
  <c r="A68" i="1" s="1"/>
  <c r="A69" i="1" s="1"/>
  <c r="A71" i="1" s="1"/>
  <c r="A72" i="1" s="1"/>
  <c r="A73" i="1" s="1"/>
  <c r="A74" i="1" s="1"/>
  <c r="A75" i="1" s="1"/>
  <c r="A76" i="1" s="1"/>
  <c r="A77" i="1" s="1"/>
  <c r="A78" i="1" s="1"/>
  <c r="A80" i="1" s="1"/>
  <c r="A81" i="1" s="1"/>
  <c r="A82" i="1" s="1"/>
  <c r="A83" i="1" s="1"/>
  <c r="A84" i="1" s="1"/>
  <c r="A85" i="1" s="1"/>
  <c r="A86" i="1" s="1"/>
  <c r="AQ9" i="1"/>
  <c r="AO9" i="1"/>
  <c r="AM9" i="1"/>
  <c r="AK9" i="1"/>
  <c r="AI9" i="1"/>
  <c r="AG9" i="1"/>
  <c r="AE9" i="1"/>
  <c r="AC9" i="1"/>
  <c r="AC8" i="1" s="1"/>
  <c r="AA9" i="1"/>
  <c r="Y9" i="1"/>
  <c r="W9" i="1"/>
  <c r="U9" i="1"/>
  <c r="S9" i="1"/>
  <c r="Q9" i="1"/>
  <c r="O9" i="1"/>
  <c r="M9" i="1"/>
  <c r="M8" i="1" s="1"/>
  <c r="K9" i="1"/>
  <c r="I9" i="1"/>
  <c r="G9" i="1"/>
  <c r="E9" i="1"/>
  <c r="AG8" i="1" l="1"/>
  <c r="O8" i="1"/>
  <c r="AE8" i="1"/>
  <c r="W8" i="1"/>
  <c r="G8" i="1"/>
  <c r="AM8" i="1"/>
  <c r="N70" i="1"/>
  <c r="N87" i="1" s="1"/>
  <c r="E8" i="1"/>
  <c r="F79" i="1" s="1"/>
  <c r="U8" i="1"/>
  <c r="AK8" i="1"/>
  <c r="Y8" i="1"/>
  <c r="AO8" i="1"/>
  <c r="AP70" i="1" s="1"/>
  <c r="AP87" i="1" s="1"/>
  <c r="I8" i="1"/>
  <c r="J32" i="1" s="1"/>
  <c r="K8" i="1"/>
  <c r="AA8" i="1"/>
  <c r="AQ8" i="1"/>
  <c r="AR70" i="1" s="1"/>
  <c r="S8" i="1"/>
  <c r="AI8" i="1"/>
  <c r="AJ79" i="1" s="1"/>
  <c r="F24" i="1" l="1"/>
  <c r="F70" i="1"/>
  <c r="F32" i="1"/>
  <c r="F50" i="1"/>
  <c r="J70" i="1"/>
  <c r="J61" i="1"/>
  <c r="J41" i="1"/>
  <c r="J87" i="1" s="1"/>
  <c r="AJ70" i="1"/>
  <c r="AJ87" i="1" s="1"/>
  <c r="AR41" i="1"/>
  <c r="AR79" i="1"/>
  <c r="F87" i="1"/>
  <c r="AR8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4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ID#AAAB-qW2Ti4
TD Thong    (2026-06-29 03:31:50)
Gộp cụm 4-5: 5 VĐV =&gt; 2 chỉ tiêu</t>
        </r>
      </text>
    </comment>
    <comment ref="R70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ID#AAAB-qW2Ti0
TD Thong    (2026-06-29 03:30:56)
Gộp cụm 7-8: 7 VĐV =&gt; 2 chỉ tiêu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5XOlCzG4BL4r945RpsSluEwvyGg=="/>
    </ext>
  </extLst>
</comments>
</file>

<file path=xl/sharedStrings.xml><?xml version="1.0" encoding="utf-8"?>
<sst xmlns="http://schemas.openxmlformats.org/spreadsheetml/2006/main" count="347" uniqueCount="172">
  <si>
    <t>TẬP ĐOÀN MƯỜNG THANH</t>
  </si>
  <si>
    <t>Phụ lục ...: PHÂN CHIA CHỈ TIÊU THỂ THAO TẠI VCK THEO KHU VỰC - ĐẠI HỘI MƯỜNG THANH 2026</t>
  </si>
  <si>
    <t>STT</t>
  </si>
  <si>
    <t>Tên đơn vị tham gia</t>
  </si>
  <si>
    <t>Bóng bàn đôi nam</t>
  </si>
  <si>
    <t>Bóng bàn đơn nam</t>
  </si>
  <si>
    <t>Bóng bàn đơn nữ</t>
  </si>
  <si>
    <t>Bóng đá nam</t>
  </si>
  <si>
    <t>Bóng đá nữ</t>
  </si>
  <si>
    <t>Kéo co phối hợp Nam - Nữ</t>
  </si>
  <si>
    <t>Bơi tự do Nam - cự ly 40m</t>
  </si>
  <si>
    <t>Bơi tự do Nam - cự ly 80m</t>
  </si>
  <si>
    <t>Bơi tự do Nữ - cự ly 40m</t>
  </si>
  <si>
    <t>Bơi ếch Nam - cự ly 40m</t>
  </si>
  <si>
    <t>Bơi ếch Nam - cự ly 80m</t>
  </si>
  <si>
    <t>Bơi ếch Nữ - cự ly 40m</t>
  </si>
  <si>
    <t>Cầu lông đôi nam</t>
  </si>
  <si>
    <t>Cầu lông đôi nam - nữ</t>
  </si>
  <si>
    <t>Cầu lông đôi nữ</t>
  </si>
  <si>
    <t>Cầu lông đơn nam</t>
  </si>
  <si>
    <t>Cầu lông đơn nữ</t>
  </si>
  <si>
    <t>Pickleball đôi nam</t>
  </si>
  <si>
    <t>Pickleball đôi nam - nữ</t>
  </si>
  <si>
    <t>Pickleball đôi nữ</t>
  </si>
  <si>
    <t>Đ.ký</t>
  </si>
  <si>
    <t>Chỉ
tiêu</t>
  </si>
  <si>
    <t>Nhân sự Ban thể thao</t>
  </si>
  <si>
    <t>Phạm Văn Nhất - IT</t>
  </si>
  <si>
    <t>Lê Hoàng + Vũ Chiến Thắng - IT</t>
  </si>
  <si>
    <t>Nguyễn Duy Hoạt + Phạm Minh Hiếu- IT</t>
  </si>
  <si>
    <t>Trần Đình Thông - IT</t>
  </si>
  <si>
    <t>Nguyễn Văn Thắng IT</t>
  </si>
  <si>
    <t>Trần Đại Nghĩa - Tài chính</t>
  </si>
  <si>
    <t>TỔNG CỘNG</t>
  </si>
  <si>
    <t>CỤM 1</t>
  </si>
  <si>
    <t>Mường Thanh Grand Hà Nội</t>
  </si>
  <si>
    <t>Mường Thanh Grand Xa La</t>
  </si>
  <si>
    <t>Mường Thanh Grand Hà Nội Centre</t>
  </si>
  <si>
    <t>Mường Thanh Luxury Bắc Ninh</t>
  </si>
  <si>
    <t>Mường Thanh Grand Bắc Giang</t>
  </si>
  <si>
    <t>Mường Thanh Luxury Phú Thọ</t>
  </si>
  <si>
    <t>Mường Thanh Grand Tuyên Quang</t>
  </si>
  <si>
    <t>Mường Thanh Luxury Hà Nam</t>
  </si>
  <si>
    <t>Mường Thanh Grand Thanh Hóa</t>
  </si>
  <si>
    <t>Văn Phòng Tập Đoàn</t>
  </si>
  <si>
    <t>???</t>
  </si>
  <si>
    <t>Cụm Chung cư Hà Nội</t>
  </si>
  <si>
    <t>Chung cư Thanh Hà</t>
  </si>
  <si>
    <t>Cienco5 và DHE</t>
  </si>
  <si>
    <t>Cụm siêu thị MT Mart</t>
  </si>
  <si>
    <t>CỤM 2</t>
  </si>
  <si>
    <t>Mường Thanh Sa Pa</t>
  </si>
  <si>
    <t>Mường Thanh Grand Lào Cai</t>
  </si>
  <si>
    <t>Mường Thanh Lai Châu</t>
  </si>
  <si>
    <t>Mường Thanh Grand Điện Biên Phủ</t>
  </si>
  <si>
    <t>Mường Thanh Luxury Điện Biên</t>
  </si>
  <si>
    <t>Mường Thanh Luxury Sơn La</t>
  </si>
  <si>
    <t>Mường Thanh Holiday Mộc Châu</t>
  </si>
  <si>
    <t>CỤM 3</t>
  </si>
  <si>
    <t>Mường Thanh Grand Hạ Long</t>
  </si>
  <si>
    <t>Mường Thanh Luxury Quảng Ninh</t>
  </si>
  <si>
    <t>Mường Thanh Grand Bãi Cháy</t>
  </si>
  <si>
    <t>Mường Thanh Holiday Suối Mơ</t>
  </si>
  <si>
    <t>Mường Thanh Luxury Hạ Long Centre</t>
  </si>
  <si>
    <t>Mường Thanh Luxury Hạ Long Centre II</t>
  </si>
  <si>
    <t>Mường Thanh Luxury Lạng Sơn</t>
  </si>
  <si>
    <t>Mường Thanh Luxury Cao Bằng</t>
  </si>
  <si>
    <t>CỤM 4</t>
  </si>
  <si>
    <t>Mường Thanh Grand Hoàng Mai</t>
  </si>
  <si>
    <t>Mường Thanh Luxury Diễn Lâm</t>
  </si>
  <si>
    <t>Mường Thanh Luxury Sông Lam</t>
  </si>
  <si>
    <t>Mường Thanh Vinh</t>
  </si>
  <si>
    <t>Mường Thanh Thanh Niên Vinh</t>
  </si>
  <si>
    <t>Mường Thanh Diễn Châu</t>
  </si>
  <si>
    <t>Mường Thanh Holiday Con Cuông</t>
  </si>
  <si>
    <t>Bệnh Viện Phủ Diễn</t>
  </si>
  <si>
    <t>CỤM 5</t>
  </si>
  <si>
    <t>Mường Thanh Cửa Đông</t>
  </si>
  <si>
    <t>Mường Thanh Grand Phương Đông</t>
  </si>
  <si>
    <t>Trung tâm Giải trí Vinh</t>
  </si>
  <si>
    <t>Mường Thanh Grand Cửa Lò</t>
  </si>
  <si>
    <t>Mường Thanh Grand Hà Tĩnh</t>
  </si>
  <si>
    <t>Mường Thanh Holiday Quảng Bình</t>
  </si>
  <si>
    <t>Mường Thanh Luxury Nhật Lệ</t>
  </si>
  <si>
    <t>Mường Thanh Luxury Vientiane</t>
  </si>
  <si>
    <t>Mường Thanh Luxury Xuân Thành</t>
  </si>
  <si>
    <t>Mường Thanh Golf Club Xuân Thành</t>
  </si>
  <si>
    <t>CỤM 6</t>
  </si>
  <si>
    <t>Mường Thanh Grand Quảng Trị</t>
  </si>
  <si>
    <t>Mường Thanh Holiday Huế</t>
  </si>
  <si>
    <t>Mường Thanh Luxury Sông Hàn</t>
  </si>
  <si>
    <t>Mường Thanh Grand Đà Nẵng</t>
  </si>
  <si>
    <t>Mường Thanh Luxury Đà Nẵng</t>
  </si>
  <si>
    <t>Mường Thanh Holiday Hội An</t>
  </si>
  <si>
    <t>Mường Thanh Grand Quảng Nam</t>
  </si>
  <si>
    <t>Mường Thanh Holiday Lý Sơn</t>
  </si>
  <si>
    <t>CỤM 7</t>
  </si>
  <si>
    <t>Mường Thanh Quy Nhơn</t>
  </si>
  <si>
    <t>Mường Thanh Holiday Đà Lạt</t>
  </si>
  <si>
    <t>Mường Thanh Luxury Buôn Ma Thuột</t>
  </si>
  <si>
    <t>Mường Thanh Luxury Nha Trang</t>
  </si>
  <si>
    <t>Mường Thanh Luxury Khánh Hòa</t>
  </si>
  <si>
    <t>Mường Thanh Grand Nha Trang</t>
  </si>
  <si>
    <t>Mường Thanh Luxury Viễn Triều</t>
  </si>
  <si>
    <t>Mường Thanh Grand Gia Lai</t>
  </si>
  <si>
    <t>CỤM 8</t>
  </si>
  <si>
    <t>Mường Thanh Holiday Mũi Né</t>
  </si>
  <si>
    <t>Mường Thanh Grand Sài Gòn Centre</t>
  </si>
  <si>
    <t>Mường Thanh Holiday Vũng Tàu</t>
  </si>
  <si>
    <t>Mường Thanh Luxury Cần Thơ</t>
  </si>
  <si>
    <t>Mường Thanh Luxury Cà Mau</t>
  </si>
  <si>
    <t>Mường Thanh Luxury Sài Gòn</t>
  </si>
  <si>
    <t>Mường Thanh Luxury Phú Quốc</t>
  </si>
  <si>
    <t>Check</t>
  </si>
  <si>
    <t>07 đội BB Đôi nam đi thẳng VCK</t>
  </si>
  <si>
    <t>- Cụm 1 + Cụm 3 = 7  vdv =&gt; lấy 2 đi VCK
- Cụm 2 = 1  vdv =&gt; đi thẳng VCK
- Cụm 4 + Cụm 5 = 7  vdv =&gt; lấy 2 đi VCK
- Cụm 6  =  4 vđv =&gt; đấu 2 bảng lấy 1 vđv 
- Cụm 7 = 3 vđv =&gt; đấu 2 bảng lấy 1 đi VCK
- Cụm 8  = 1  vdv =&gt; đi thẳng VCK</t>
  </si>
  <si>
    <t>- Cụm 1: 8 vđv thi đấu chọn 4 
- Cụm 2: 1 vđv =&gt; đi thẳng VCK
- Cụm 8: 1 vđv =&gt; đi thẳng VCK
- Cụm 5: 2 vđv =&gt; đi thẳng VCK</t>
  </si>
  <si>
    <t>- Cụm 4 + 5 = 6 đội =&gt; đấu loại lấy 1 đội đi VCK
- Các cụm còn lại đấu loại để lấy đội đi vck như chỉ tiêu phân bổ</t>
  </si>
  <si>
    <t>- Cụm 1 + 3 = 4 đổi =&gt; gộp chung đấu loại lấy 1 đội đi VCK
- Cụm 2 =&gt; đấu loại lấy 2 đi VCK
- Cum 4 + 5 = 7 đổi =&gt;đấu loại lấy 3 đi VCK
- Cụm 6 đấu loại lấy 1 đi VCK
- Cụm 8 đấu loại lấy 1 đi VCK</t>
  </si>
  <si>
    <t>Tất cả các cụm đấu loại để lấy 1 đội đi VCK</t>
  </si>
  <si>
    <t>- Cụm 1:  9 VĐV lấy 2 chỉ tiêu VCK
- Cụm 2:  5 VĐV lấy 2 chỉ tiêu VCK
- Cụm 3:  2 VĐV lấy 1 chỉ tiêu VCK
- Cụm 4:  2 VĐV lấy 1 chỉ tiêu VCK
- Cụm 5:  3 VĐV lấy 1 chỉ tiêu VCK
- Gộp cụm 6-7: 7 VĐV lấy 2 chỉ tiêu VCK
- Cụm 8:  6 VĐV lấy 2 chỉ tiêu VCK</t>
  </si>
  <si>
    <t>- Cụm 1:  4 VĐV lấy 2 chỉ tiêu VCK
- Cụm 2:  2 VĐV lấy 1 chỉ tiêu VCK
- Cụm 3:  2 VĐV lấy 1 chỉ tiêu VCK
- Gộp cụm 4-5: 5 VĐV lấy 2 chỉ tiêu VCK
- Cụm 6: 4 VĐV lấy 2 chỉ tiêu VCK
- Cụm 7: 2 VĐV lấy 1 chỉ tiêu VCK
- Cụm 8: 1 VĐV lấy 1 chỉ tiêu VCK</t>
  </si>
  <si>
    <t>Không đấu loại, 9 VĐV đi thẳng VCK</t>
  </si>
  <si>
    <t>- Cụm 1: 3 VĐV lấy 1 chỉ tiêu VCK
- Cụm 2: 2 VĐV lấy 1 chỉ tiêu VCK
- Cụm 3,4: Không có VĐV đăng ký
- Cụm 5: 1 VĐV lấy 1 chỉ tiêu VCK
- Cụm 6: 4 VĐV lấy 2 chỉ tiêu VCK
- Cụm 7: 3 VĐV lấy 2 chỉ tiêu VCK
- Cụm 8: 3 VĐV lấy 2 chỉ tiêu VCK</t>
  </si>
  <si>
    <t>Không đấu loại, 11 VĐV đi thẳng VCK</t>
  </si>
  <si>
    <t>- Cụm 1 đấu loại lấy 2 đi VCK
- Cụm 2+3 đấu loại lấy 1 đi VCK
- Cụm 4+5 đấu loại lấy 1 đi VCK
- Cụm 6 đấu loại lấy 2 đi VCK
- Cụm 7 đấu loại lấy 1 đi VCK
- Cụm 8 đấu loại lấy 1 đi VCK</t>
  </si>
  <si>
    <t>- Cụm 1 đấu loại lấy 2 đi VCK
- Cụm 2+3 đấu loại lấy 1 đi VCK
- Cụm 4+5 đấu loại lấy 1 đi VCK
- Cụm 6+7 đấu loại lấy 2 đi VCK
- Cụm 8 đấu loại lấy 2 đi VCK</t>
  </si>
  <si>
    <t>- Cụm 1 đấu loại lấy 3 đi VCK
- Cụm 2+3 đấu loại lấy 1 đi VCK
- Cụm 4+5 đấu loại lấy 1 đi VCK
- Cụm 6 đấu loại lấy 1 đi VCK
- Cụm 7 đấu loại lấy 1 đi VCK
- Cụm 8 đấu loại lấy 1 đi VCK</t>
  </si>
  <si>
    <t xml:space="preserve">- Cụm 1 đấu loại lấy 4 đi VCK
- Cụm 2+3 đấu loại lấy 1 đi VCK
- Cụm 4+5 đấu loại lấy 1 đi VCK
- Cụm 6 đấu loại lấy 1 đi VCK
- Cụm 7+8 đấu loại lấy 1 đi VCK
</t>
  </si>
  <si>
    <t>- Cụm 1 + 3 đấu loại lấy 4 đội
- Cụm 2 đấu loại lấy 1 đội
- Cụm 4 + 5 đấu loại lấy 1 đội
- Cụm 6 đấu loại lấy 1 đội
- Cụm 7 + 8 đấu loại lấy 1 đội</t>
  </si>
  <si>
    <t>- Cụm 1 + 3 đấu loại lấy 4 đội
- Cụm 2 đấu loại lấy 1 đội
- Cụm 4 + 5 đấu loại lấy 2 đội
- Cụm 6 + 7 + 8 đấu loại lấy 1 đội</t>
  </si>
  <si>
    <t>- Cụm 1 + 3 đấu loại lấy 5 đội
- Cụm 2 đấu loại lấy 1 đội
- Cụm 5 đấu loại lấy 1 đội
- Cụm 6 đấu loại lấy 1 đội</t>
  </si>
  <si>
    <t>Cụm 1 dự kiến tổ chức chung với nhà thầu và đối tác nên lây chỉ tiêu bao nhiêu của cụm 1 vẫn lấy nhưng lấy theo kết quả giải thể thao MT mở rộng tại HN</t>
  </si>
  <si>
    <t>Tổng hợp</t>
  </si>
  <si>
    <t>Số lượng</t>
  </si>
  <si>
    <t>Tổng số người đăng ký</t>
  </si>
  <si>
    <t>Tổng số lượt đăng ký theo môn thể thao</t>
  </si>
  <si>
    <t>Tổng số lượt đăng ký theo từng nội dung thể thao</t>
  </si>
  <si>
    <t>Giải kỹ thuật cho Nữ</t>
  </si>
  <si>
    <t>Nội dung đăng ký dưới 6 đội</t>
  </si>
  <si>
    <t>Giải các bảng theo handicap</t>
  </si>
  <si>
    <t>Nội dung đăng ký từ 6 đội -10 đội</t>
  </si>
  <si>
    <t>Vòng loại:</t>
  </si>
  <si>
    <t>08-12/09/2026</t>
  </si>
  <si>
    <t>Nội dung đăng ký từ 11 đội -16 đội</t>
  </si>
  <si>
    <t>VCK</t>
  </si>
  <si>
    <t>19-24/10/2026</t>
  </si>
  <si>
    <t>Nội dung đăng ký từ 16 đội -24 đội</t>
  </si>
  <si>
    <t>Nội dung đăng ký &gt; 24 đội</t>
  </si>
  <si>
    <t>Môn thi đấu có nhiều đội đăng ký nhất</t>
  </si>
  <si>
    <t>Pickle Ball, Bóng bàn, Cầu Lông</t>
  </si>
  <si>
    <t>Nội dung thi đấu nhiều đội đăng ký nhất:</t>
  </si>
  <si>
    <t>Pickle Ball đôi nam, đôi nam nữ: 39 đội</t>
  </si>
  <si>
    <t>Bóng đá nam 36 đội</t>
  </si>
  <si>
    <t>Kéo co 36 đội</t>
  </si>
  <si>
    <t>Bơi tự do nam 40 mét: 34</t>
  </si>
  <si>
    <t>Cầu lông đôi nam nữ: 33</t>
  </si>
  <si>
    <t>05 Đơn vị đăng ký nhiều môn nhất</t>
  </si>
  <si>
    <t>VPTD, GDL, CTH, HLC2, QTR</t>
  </si>
  <si>
    <t>05 Đơn vị đăng ký ít môn nhất</t>
  </si>
  <si>
    <t>BGI, SLM, TNV, QNI, BV PD</t>
  </si>
  <si>
    <t>05 Đơn vị đăng ký nhiều nội dung nhất</t>
  </si>
  <si>
    <t>VPTD, LDN, Cienco5, VRC, QTR</t>
  </si>
  <si>
    <t>05 Đơn vị đăng ký ít nội dung nhất</t>
  </si>
  <si>
    <t>SLM, BV PD, TNV, QNI, BGI</t>
  </si>
  <si>
    <t>05 Đơn vị đăng ký nhiều người nhất</t>
  </si>
  <si>
    <t>05 Đơn vị đăng ký ít người nhất</t>
  </si>
  <si>
    <t xml:space="preserve">"- Cụm 1 + Cụm 3 = 7  vdv =&gt; lấy 2 đi VCK
- Cụm 2 = 1  vdv =&gt; đi thẳng VCK
- Cụm 4 + Cụm 5 = 7  vdv =&gt; lấy 2 đi VCK
- Cụm 6 + Cụm 7 = 7 vđv =&gt; lấy 2 đi VCK
- Cụm 8  = 1  vdv =&gt; đi thẳng VCK"	</t>
  </si>
  <si>
    <t>"- Cụm 4 + 5 = 6 đội =&gt; đấu loại lấy 1 đội đi VCK
- Các cụm còn lại đấu loại để lấy đội đi vck như chỉ tiêu phân bổ"</t>
  </si>
  <si>
    <t>"- Cụm 1 + 3 = 4 đổi =&gt; gộp chung đấu loại lấy 1 đội đi VCK
- Cụm 2 =&gt; đấu loại lấy 2 đi VCK
- Cum 4 + 5 = 7 đổi =&gt;đấu loại lấy 3 đi VCK
- Cụm 6 đấu loại lấy 1 đi VCK
- Cụm 8 đấu loại lấy 1 đi VCK"</t>
  </si>
  <si>
    <t>- Cụm 1 + 3 = 11 vdv =&gt; gộp chung đấu loại lấy 3 VDV đi VCK
- Cụm 2 =&gt; đấu loại lấy 1 đi VCK
- Cum 4 + 5 = 5 vdv =&gt;đấu loại lấy 1 đi VCK
- Cụm 6 đấu loại lấy 1 đi VCK
- Cụm 7+8=7 vdv =&gt; gộp chung đấu loại lấy 2 đi VCK</t>
  </si>
  <si>
    <t xml:space="preserve">"- Cụm 1 + 3 đấu loại lấy 4 đội
- Cụm 2 đấu loại lấy 1 đội
- Cụm 4 + 5 đấu loại lấy 2 đội
- Cụm 6 + 7 + 8 đấu loại lấy 1 đội"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</si>
</sst>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_-* #,##0.0\ _₫_-;\-* #,##0.0\ _₫_-;_-* &quot;-&quot;??\ _₫_-;_-@"/>
    <numFmt numFmtId="166" formatCode="_-* #,##0.00\ _₫_-;\-* #,##0.00\ _₫_-;_-* &quot;-&quot;??\ _₫_-;_-@"/>
    <numFmt numFmtId="167" formatCode="_-* #,##0\ _₫_-;\-* #,##0\ _₫_-;_-* &quot;-&quot;??\ _₫_-;_-@"/>
    <numFmt numFmtId="168" formatCode="_-* #,##0.000\ _₫_-;\-* #,##0.000\ _₫_-;_-* &quot;-&quot;??\ _₫_-;_-@"/>
  </numFmts>
  <fonts count="10">
    <font>
      <sz val="11"/>
      <color theme="1"/>
      <name val="Calibri"/>
      <scheme val="minor"/>
    </font>
    <font>
      <b/>
      <sz val="10"/>
      <color theme="1"/>
      <name val="Arial Narrow"/>
    </font>
    <font>
      <sz val="10"/>
      <color theme="1"/>
      <name val="Arial Narrow"/>
    </font>
    <font>
      <b/>
      <sz val="14"/>
      <color theme="1"/>
      <name val="Arial Narrow"/>
    </font>
    <font>
      <sz val="14"/>
      <color theme="1"/>
      <name val="Arial Narrow"/>
    </font>
    <font>
      <b/>
      <sz val="10"/>
      <color rgb="FF000000"/>
      <name val="Arial Narrow"/>
    </font>
    <font>
      <sz val="11"/>
      <name val="Calibri"/>
    </font>
    <font>
      <b/>
      <sz val="12"/>
      <color theme="1"/>
      <name val="Arial Narrow"/>
    </font>
    <font>
      <sz val="12"/>
      <color theme="1"/>
      <name val="Arial Narrow"/>
    </font>
    <font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C00000"/>
        <bgColor rgb="FFC00000"/>
      </patternFill>
    </fill>
  </fills>
  <borders count="8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theme="1"/>
      </right>
      <top style="hair">
        <color rgb="FF000000"/>
      </top>
      <bottom style="hair">
        <color rgb="FF000000"/>
      </bottom>
      <diagonal/>
    </border>
    <border>
      <left style="hair">
        <color theme="1"/>
      </left>
      <right style="hair">
        <color theme="1"/>
      </right>
      <top style="hair">
        <color rgb="FF000000"/>
      </top>
      <bottom style="hair">
        <color rgb="FF000000"/>
      </bottom>
      <diagonal/>
    </border>
    <border>
      <left style="hair">
        <color theme="1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theme="1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theme="1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theme="1"/>
      </right>
      <top style="hair">
        <color rgb="FF000000"/>
      </top>
      <bottom/>
      <diagonal/>
    </border>
    <border>
      <left style="hair">
        <color theme="1"/>
      </left>
      <right style="hair">
        <color theme="1"/>
      </right>
      <top style="hair">
        <color rgb="FF000000"/>
      </top>
      <bottom/>
      <diagonal/>
    </border>
    <border>
      <left style="medium">
        <color rgb="FF000000"/>
      </left>
      <right style="hair">
        <color theme="1"/>
      </right>
      <top/>
      <bottom style="hair">
        <color rgb="FF000000"/>
      </bottom>
      <diagonal/>
    </border>
    <border>
      <left style="hair">
        <color theme="1"/>
      </left>
      <right style="hair">
        <color theme="1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hair">
        <color theme="1"/>
      </right>
      <top style="medium">
        <color rgb="FF000000"/>
      </top>
      <bottom style="hair">
        <color rgb="FF000000"/>
      </bottom>
      <diagonal/>
    </border>
    <border>
      <left style="hair">
        <color theme="1"/>
      </left>
      <right style="hair">
        <color theme="1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hair">
        <color theme="1"/>
      </right>
      <top style="hair">
        <color rgb="FF000000"/>
      </top>
      <bottom/>
      <diagonal/>
    </border>
    <border>
      <left style="hair">
        <color theme="1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theme="1"/>
      </right>
      <top/>
      <bottom style="medium">
        <color rgb="FF000000"/>
      </bottom>
      <diagonal/>
    </border>
    <border>
      <left style="hair">
        <color theme="1"/>
      </left>
      <right style="hair">
        <color theme="1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2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3" borderId="9" xfId="0" applyNumberFormat="1" applyFont="1" applyFill="1" applyBorder="1" applyAlignment="1">
      <alignment horizontal="center" vertical="center" wrapText="1"/>
    </xf>
    <xf numFmtId="1" fontId="8" fillId="0" borderId="8" xfId="0" applyNumberFormat="1" applyFont="1" applyBorder="1" applyAlignment="1">
      <alignment horizontal="center" vertical="center" wrapText="1"/>
    </xf>
    <xf numFmtId="1" fontId="7" fillId="4" borderId="9" xfId="0" applyNumberFormat="1" applyFont="1" applyFill="1" applyBorder="1" applyAlignment="1">
      <alignment horizontal="center" vertical="center" wrapText="1"/>
    </xf>
    <xf numFmtId="1" fontId="8" fillId="0" borderId="8" xfId="0" applyNumberFormat="1" applyFont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1" fontId="7" fillId="2" borderId="11" xfId="0" applyNumberFormat="1" applyFont="1" applyFill="1" applyBorder="1" applyAlignment="1">
      <alignment horizontal="center" vertical="center" wrapText="1"/>
    </xf>
    <xf numFmtId="1" fontId="8" fillId="0" borderId="12" xfId="0" applyNumberFormat="1" applyFont="1" applyBorder="1" applyAlignment="1">
      <alignment horizontal="center" vertical="center" wrapText="1"/>
    </xf>
    <xf numFmtId="1" fontId="7" fillId="4" borderId="10" xfId="0" applyNumberFormat="1" applyFont="1" applyFill="1" applyBorder="1" applyAlignment="1">
      <alignment horizontal="center" vertical="center" wrapText="1"/>
    </xf>
    <xf numFmtId="1" fontId="7" fillId="2" borderId="9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1" fontId="1" fillId="0" borderId="16" xfId="0" applyNumberFormat="1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" fontId="1" fillId="4" borderId="19" xfId="0" applyNumberFormat="1" applyFont="1" applyFill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1" fontId="2" fillId="0" borderId="23" xfId="0" applyNumberFormat="1" applyFont="1" applyBorder="1" applyAlignment="1">
      <alignment horizontal="center" vertical="center"/>
    </xf>
    <xf numFmtId="1" fontId="2" fillId="0" borderId="26" xfId="0" applyNumberFormat="1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165" fontId="2" fillId="0" borderId="3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6" borderId="32" xfId="0" applyFont="1" applyFill="1" applyBorder="1"/>
    <xf numFmtId="165" fontId="2" fillId="0" borderId="27" xfId="0" applyNumberFormat="1" applyFont="1" applyBorder="1" applyAlignment="1">
      <alignment horizontal="center" vertical="center"/>
    </xf>
    <xf numFmtId="0" fontId="2" fillId="0" borderId="30" xfId="0" applyFont="1" applyBorder="1"/>
    <xf numFmtId="1" fontId="2" fillId="0" borderId="28" xfId="0" applyNumberFormat="1" applyFont="1" applyBorder="1" applyAlignment="1">
      <alignment horizontal="center" vertical="center"/>
    </xf>
    <xf numFmtId="1" fontId="2" fillId="4" borderId="22" xfId="0" applyNumberFormat="1" applyFont="1" applyFill="1" applyBorder="1" applyAlignment="1">
      <alignment horizontal="center" vertical="center"/>
    </xf>
    <xf numFmtId="0" fontId="2" fillId="4" borderId="30" xfId="0" applyFont="1" applyFill="1" applyBorder="1"/>
    <xf numFmtId="0" fontId="2" fillId="0" borderId="37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0" borderId="39" xfId="0" applyFont="1" applyBorder="1"/>
    <xf numFmtId="0" fontId="2" fillId="0" borderId="40" xfId="0" applyFont="1" applyBorder="1" applyAlignment="1">
      <alignment horizontal="left" vertical="center"/>
    </xf>
    <xf numFmtId="1" fontId="2" fillId="0" borderId="41" xfId="0" applyNumberFormat="1" applyFont="1" applyBorder="1" applyAlignment="1">
      <alignment horizontal="center" vertical="center"/>
    </xf>
    <xf numFmtId="1" fontId="2" fillId="0" borderId="38" xfId="0" applyNumberFormat="1" applyFont="1" applyBorder="1" applyAlignment="1">
      <alignment horizontal="center" vertical="center"/>
    </xf>
    <xf numFmtId="164" fontId="2" fillId="0" borderId="38" xfId="0" applyNumberFormat="1" applyFont="1" applyBorder="1" applyAlignment="1">
      <alignment horizontal="center" vertical="center"/>
    </xf>
    <xf numFmtId="164" fontId="2" fillId="0" borderId="42" xfId="0" applyNumberFormat="1" applyFont="1" applyBorder="1" applyAlignment="1">
      <alignment horizontal="center" vertical="center"/>
    </xf>
    <xf numFmtId="1" fontId="2" fillId="4" borderId="37" xfId="0" applyNumberFormat="1" applyFont="1" applyFill="1" applyBorder="1" applyAlignment="1">
      <alignment horizontal="center" vertical="center"/>
    </xf>
    <xf numFmtId="1" fontId="2" fillId="0" borderId="37" xfId="0" applyNumberFormat="1" applyFont="1" applyBorder="1" applyAlignment="1">
      <alignment horizontal="center" vertical="center"/>
    </xf>
    <xf numFmtId="165" fontId="2" fillId="0" borderId="42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1" fontId="1" fillId="0" borderId="19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1" fontId="2" fillId="0" borderId="43" xfId="0" applyNumberFormat="1" applyFont="1" applyBorder="1" applyAlignment="1">
      <alignment horizontal="center" vertical="center"/>
    </xf>
    <xf numFmtId="1" fontId="2" fillId="0" borderId="44" xfId="0" applyNumberFormat="1" applyFont="1" applyBorder="1" applyAlignment="1">
      <alignment horizontal="center" vertical="center"/>
    </xf>
    <xf numFmtId="164" fontId="2" fillId="0" borderId="44" xfId="0" applyNumberFormat="1" applyFont="1" applyBorder="1" applyAlignment="1">
      <alignment horizontal="center" vertical="center"/>
    </xf>
    <xf numFmtId="164" fontId="2" fillId="0" borderId="45" xfId="0" applyNumberFormat="1" applyFont="1" applyBorder="1" applyAlignment="1">
      <alignment horizontal="center" vertical="center"/>
    </xf>
    <xf numFmtId="1" fontId="2" fillId="4" borderId="46" xfId="0" applyNumberFormat="1" applyFont="1" applyFill="1" applyBorder="1" applyAlignment="1">
      <alignment horizontal="center" vertical="center"/>
    </xf>
    <xf numFmtId="1" fontId="2" fillId="0" borderId="47" xfId="0" applyNumberFormat="1" applyFont="1" applyBorder="1" applyAlignment="1">
      <alignment horizontal="center" vertical="center"/>
    </xf>
    <xf numFmtId="1" fontId="2" fillId="0" borderId="46" xfId="0" applyNumberFormat="1" applyFont="1" applyBorder="1" applyAlignment="1">
      <alignment horizontal="center" vertical="center"/>
    </xf>
    <xf numFmtId="0" fontId="2" fillId="0" borderId="46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 wrapText="1"/>
    </xf>
    <xf numFmtId="165" fontId="2" fillId="0" borderId="4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left" vertical="center"/>
    </xf>
    <xf numFmtId="0" fontId="2" fillId="4" borderId="50" xfId="0" applyFont="1" applyFill="1" applyBorder="1" applyAlignment="1">
      <alignment horizontal="left" vertical="center" wrapText="1"/>
    </xf>
    <xf numFmtId="1" fontId="2" fillId="0" borderId="52" xfId="0" applyNumberFormat="1" applyFont="1" applyBorder="1" applyAlignment="1">
      <alignment horizontal="center" vertical="center"/>
    </xf>
    <xf numFmtId="1" fontId="2" fillId="0" borderId="56" xfId="0" applyNumberFormat="1" applyFont="1" applyBorder="1" applyAlignment="1">
      <alignment horizontal="center" vertical="center"/>
    </xf>
    <xf numFmtId="0" fontId="1" fillId="0" borderId="59" xfId="0" applyFont="1" applyBorder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164" fontId="1" fillId="0" borderId="18" xfId="0" applyNumberFormat="1" applyFont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0" fontId="1" fillId="0" borderId="49" xfId="0" applyFont="1" applyBorder="1" applyAlignment="1">
      <alignment horizontal="left" vertical="center"/>
    </xf>
    <xf numFmtId="0" fontId="2" fillId="6" borderId="50" xfId="0" applyFont="1" applyFill="1" applyBorder="1" applyAlignment="1">
      <alignment horizontal="left" vertical="center" wrapText="1"/>
    </xf>
    <xf numFmtId="0" fontId="2" fillId="4" borderId="48" xfId="0" applyFont="1" applyFill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0" fontId="2" fillId="0" borderId="47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4" borderId="63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164" fontId="1" fillId="6" borderId="17" xfId="0" applyNumberFormat="1" applyFont="1" applyFill="1" applyBorder="1" applyAlignment="1">
      <alignment horizontal="center" vertical="center"/>
    </xf>
    <xf numFmtId="1" fontId="2" fillId="0" borderId="48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1" fontId="2" fillId="0" borderId="45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66" fontId="2" fillId="0" borderId="31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4" borderId="63" xfId="0" applyFont="1" applyFill="1" applyBorder="1" applyAlignment="1">
      <alignment vertical="center"/>
    </xf>
    <xf numFmtId="0" fontId="2" fillId="0" borderId="4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" fontId="2" fillId="0" borderId="51" xfId="0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6" xfId="0" applyFont="1" applyBorder="1" applyAlignment="1">
      <alignment vertical="center"/>
    </xf>
    <xf numFmtId="0" fontId="2" fillId="0" borderId="65" xfId="0" applyFont="1" applyBorder="1" applyAlignment="1">
      <alignment vertical="center"/>
    </xf>
    <xf numFmtId="1" fontId="2" fillId="0" borderId="66" xfId="0" applyNumberFormat="1" applyFont="1" applyBorder="1" applyAlignment="1">
      <alignment horizontal="center" vertical="center"/>
    </xf>
    <xf numFmtId="1" fontId="2" fillId="0" borderId="67" xfId="0" applyNumberFormat="1" applyFont="1" applyBorder="1" applyAlignment="1">
      <alignment horizontal="center" vertical="center"/>
    </xf>
    <xf numFmtId="1" fontId="2" fillId="0" borderId="70" xfId="0" applyNumberFormat="1" applyFont="1" applyBorder="1" applyAlignment="1">
      <alignment horizontal="center" vertical="center"/>
    </xf>
    <xf numFmtId="1" fontId="2" fillId="0" borderId="64" xfId="0" applyNumberFormat="1" applyFont="1" applyBorder="1" applyAlignment="1">
      <alignment horizontal="center" vertical="center"/>
    </xf>
    <xf numFmtId="166" fontId="2" fillId="0" borderId="71" xfId="0" applyNumberFormat="1" applyFont="1" applyBorder="1" applyAlignment="1">
      <alignment horizontal="center" vertical="center"/>
    </xf>
    <xf numFmtId="0" fontId="1" fillId="8" borderId="72" xfId="0" applyFont="1" applyFill="1" applyBorder="1" applyAlignment="1">
      <alignment horizontal="center" vertical="center"/>
    </xf>
    <xf numFmtId="0" fontId="1" fillId="8" borderId="72" xfId="0" applyFont="1" applyFill="1" applyBorder="1" applyAlignment="1">
      <alignment horizontal="center" vertical="center"/>
    </xf>
    <xf numFmtId="1" fontId="1" fillId="8" borderId="72" xfId="0" applyNumberFormat="1" applyFont="1" applyFill="1" applyBorder="1" applyAlignment="1">
      <alignment horizontal="center" vertical="center"/>
    </xf>
    <xf numFmtId="1" fontId="1" fillId="8" borderId="7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2" xfId="0" applyFont="1" applyBorder="1" applyAlignment="1">
      <alignment vertical="center"/>
    </xf>
    <xf numFmtId="1" fontId="2" fillId="0" borderId="72" xfId="0" applyNumberFormat="1" applyFont="1" applyBorder="1" applyAlignment="1">
      <alignment horizontal="center" vertical="center"/>
    </xf>
    <xf numFmtId="1" fontId="2" fillId="2" borderId="72" xfId="0" applyNumberFormat="1" applyFont="1" applyFill="1" applyBorder="1" applyAlignment="1">
      <alignment horizontal="center" vertical="center"/>
    </xf>
    <xf numFmtId="0" fontId="2" fillId="0" borderId="7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7" fontId="2" fillId="0" borderId="0" xfId="0" applyNumberFormat="1" applyFont="1" applyAlignment="1">
      <alignment vertical="center"/>
    </xf>
    <xf numFmtId="0" fontId="2" fillId="9" borderId="75" xfId="0" applyFont="1" applyFill="1" applyBorder="1" applyAlignment="1">
      <alignment horizontal="center" vertical="center"/>
    </xf>
    <xf numFmtId="0" fontId="2" fillId="3" borderId="75" xfId="0" applyFont="1" applyFill="1" applyBorder="1" applyAlignment="1">
      <alignment horizontal="center" vertical="center"/>
    </xf>
    <xf numFmtId="0" fontId="2" fillId="5" borderId="75" xfId="0" applyFont="1" applyFill="1" applyBorder="1" applyAlignment="1">
      <alignment horizontal="center" vertical="center"/>
    </xf>
    <xf numFmtId="0" fontId="2" fillId="4" borderId="75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0" fontId="2" fillId="2" borderId="7" xfId="0" applyFont="1" applyFill="1" applyBorder="1" applyAlignment="1">
      <alignment vertical="center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/>
    <xf numFmtId="1" fontId="9" fillId="0" borderId="0" xfId="0" applyNumberFormat="1" applyFont="1" applyAlignment="1"/>
    <xf numFmtId="0" fontId="2" fillId="2" borderId="2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9" fillId="0" borderId="0" xfId="0" applyFont="1" applyAlignment="1"/>
    <xf numFmtId="0" fontId="2" fillId="0" borderId="0" xfId="0" quotePrefix="1" applyFont="1" applyAlignment="1">
      <alignment vertical="center"/>
    </xf>
    <xf numFmtId="1" fontId="9" fillId="0" borderId="0" xfId="0" applyNumberFormat="1" applyFont="1" applyAlignment="1">
      <alignment horizontal="center"/>
    </xf>
    <xf numFmtId="164" fontId="1" fillId="7" borderId="20" xfId="0" applyNumberFormat="1" applyFont="1" applyFill="1" applyBorder="1" applyAlignment="1">
      <alignment horizontal="center" vertical="center"/>
    </xf>
    <xf numFmtId="0" fontId="6" fillId="0" borderId="29" xfId="0" applyFont="1" applyBorder="1"/>
    <xf numFmtId="0" fontId="6" fillId="0" borderId="36" xfId="0" applyFont="1" applyBorder="1"/>
    <xf numFmtId="1" fontId="2" fillId="0" borderId="52" xfId="0" applyNumberFormat="1" applyFont="1" applyBorder="1" applyAlignment="1">
      <alignment horizontal="center" vertical="center"/>
    </xf>
    <xf numFmtId="0" fontId="6" fillId="0" borderId="54" xfId="0" applyFont="1" applyBorder="1"/>
    <xf numFmtId="1" fontId="2" fillId="4" borderId="55" xfId="0" applyNumberFormat="1" applyFont="1" applyFill="1" applyBorder="1" applyAlignment="1">
      <alignment horizontal="center" vertical="center"/>
    </xf>
    <xf numFmtId="0" fontId="6" fillId="0" borderId="57" xfId="0" applyFont="1" applyBorder="1"/>
    <xf numFmtId="1" fontId="2" fillId="0" borderId="56" xfId="0" applyNumberFormat="1" applyFont="1" applyBorder="1" applyAlignment="1">
      <alignment horizontal="center" vertical="center"/>
    </xf>
    <xf numFmtId="0" fontId="6" fillId="0" borderId="58" xfId="0" applyFont="1" applyBorder="1"/>
    <xf numFmtId="1" fontId="2" fillId="4" borderId="51" xfId="0" applyNumberFormat="1" applyFont="1" applyFill="1" applyBorder="1" applyAlignment="1">
      <alignment horizontal="center" vertical="center"/>
    </xf>
    <xf numFmtId="0" fontId="6" fillId="0" borderId="61" xfId="0" applyFont="1" applyBorder="1"/>
    <xf numFmtId="0" fontId="6" fillId="0" borderId="53" xfId="0" applyFont="1" applyBorder="1"/>
    <xf numFmtId="1" fontId="2" fillId="0" borderId="28" xfId="0" applyNumberFormat="1" applyFont="1" applyBorder="1" applyAlignment="1">
      <alignment horizontal="center" vertical="center"/>
    </xf>
    <xf numFmtId="0" fontId="6" fillId="0" borderId="33" xfId="0" applyFont="1" applyBorder="1"/>
    <xf numFmtId="0" fontId="6" fillId="0" borderId="34" xfId="0" applyFont="1" applyBorder="1"/>
    <xf numFmtId="1" fontId="2" fillId="4" borderId="28" xfId="0" applyNumberFormat="1" applyFont="1" applyFill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4" xfId="0" applyFont="1" applyBorder="1"/>
    <xf numFmtId="0" fontId="1" fillId="0" borderId="1" xfId="0" applyFont="1" applyBorder="1" applyAlignment="1">
      <alignment vertical="center"/>
    </xf>
    <xf numFmtId="0" fontId="6" fillId="0" borderId="6" xfId="0" applyFon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6" fillId="0" borderId="74" xfId="0" applyFont="1" applyBorder="1"/>
    <xf numFmtId="0" fontId="2" fillId="0" borderId="73" xfId="0" applyFont="1" applyBorder="1" applyAlignment="1">
      <alignment horizontal="center" vertical="top" wrapText="1"/>
    </xf>
    <xf numFmtId="0" fontId="2" fillId="0" borderId="73" xfId="0" quotePrefix="1" applyFont="1" applyBorder="1" applyAlignment="1">
      <alignment horizontal="center" vertical="center" wrapText="1"/>
    </xf>
    <xf numFmtId="1" fontId="2" fillId="0" borderId="51" xfId="0" applyNumberFormat="1" applyFont="1" applyBorder="1" applyAlignment="1">
      <alignment horizontal="center" vertical="center"/>
    </xf>
    <xf numFmtId="0" fontId="6" fillId="0" borderId="68" xfId="0" applyFont="1" applyBorder="1"/>
    <xf numFmtId="0" fontId="6" fillId="0" borderId="69" xfId="0" applyFont="1" applyBorder="1"/>
    <xf numFmtId="0" fontId="6" fillId="0" borderId="62" xfId="0" applyFont="1" applyBorder="1"/>
    <xf numFmtId="0" fontId="2" fillId="0" borderId="80" xfId="0" applyFont="1" applyBorder="1" applyAlignment="1">
      <alignment vertical="center"/>
    </xf>
    <xf numFmtId="0" fontId="6" fillId="0" borderId="8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76" xfId="0" applyFont="1" applyFill="1" applyBorder="1" applyAlignment="1">
      <alignment horizontal="center" vertical="center" wrapText="1"/>
    </xf>
    <xf numFmtId="0" fontId="6" fillId="0" borderId="77" xfId="0" applyFont="1" applyBorder="1"/>
    <xf numFmtId="0" fontId="2" fillId="0" borderId="78" xfId="0" applyFont="1" applyBorder="1" applyAlignment="1">
      <alignment vertical="center"/>
    </xf>
    <xf numFmtId="0" fontId="6" fillId="0" borderId="79" xfId="0" applyFont="1" applyBorder="1"/>
    <xf numFmtId="0" fontId="2" fillId="0" borderId="0" xfId="0" applyFont="1" applyAlignment="1">
      <alignment vertical="center" wrapText="1"/>
    </xf>
    <xf numFmtId="0" fontId="0" fillId="0" borderId="0" xfId="0" applyFont="1" applyAlignment="1"/>
  </cellXfs>
  <cellStyles count="1">
    <cellStyle name="Normal" xfId="0" builtinId="0"/>
  </cellStyles>
  <dxfs count="1">
    <dxf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1000"/>
  <sheetViews>
    <sheetView tabSelected="1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G89" sqref="G89:H89"/>
    </sheetView>
  </sheetViews>
  <sheetFormatPr defaultColWidth="14.44140625" defaultRowHeight="15" customHeight="1"/>
  <cols>
    <col min="1" max="1" width="2.6640625" customWidth="1"/>
    <col min="2" max="2" width="5.88671875" hidden="1" customWidth="1"/>
    <col min="3" max="3" width="27.5546875" customWidth="1"/>
    <col min="4" max="4" width="9.44140625" hidden="1" customWidth="1"/>
    <col min="5" max="44" width="6.88671875" customWidth="1"/>
    <col min="45" max="45" width="9.109375" customWidth="1"/>
  </cols>
  <sheetData>
    <row r="1" spans="1:45" ht="12.75" customHeight="1">
      <c r="A1" s="1" t="s">
        <v>0</v>
      </c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2"/>
    </row>
    <row r="2" spans="1:45" ht="12.75" customHeight="1">
      <c r="A2" s="1"/>
      <c r="B2" s="1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2"/>
    </row>
    <row r="3" spans="1:45" ht="12.75" customHeight="1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/>
    </row>
    <row r="4" spans="1:45" ht="12.75" customHeight="1">
      <c r="A4" s="1"/>
      <c r="B4" s="1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2"/>
    </row>
    <row r="5" spans="1:45" ht="56.25" customHeight="1">
      <c r="A5" s="181" t="s">
        <v>2</v>
      </c>
      <c r="B5" s="6"/>
      <c r="C5" s="181" t="s">
        <v>3</v>
      </c>
      <c r="D5" s="7"/>
      <c r="E5" s="183" t="s">
        <v>4</v>
      </c>
      <c r="F5" s="180"/>
      <c r="G5" s="183" t="s">
        <v>5</v>
      </c>
      <c r="H5" s="180"/>
      <c r="I5" s="183" t="s">
        <v>6</v>
      </c>
      <c r="J5" s="180"/>
      <c r="K5" s="183" t="s">
        <v>7</v>
      </c>
      <c r="L5" s="180"/>
      <c r="M5" s="183" t="s">
        <v>8</v>
      </c>
      <c r="N5" s="180"/>
      <c r="O5" s="183" t="s">
        <v>9</v>
      </c>
      <c r="P5" s="180"/>
      <c r="Q5" s="183" t="s">
        <v>10</v>
      </c>
      <c r="R5" s="180"/>
      <c r="S5" s="183" t="s">
        <v>11</v>
      </c>
      <c r="T5" s="180"/>
      <c r="U5" s="183" t="s">
        <v>12</v>
      </c>
      <c r="V5" s="180"/>
      <c r="W5" s="183" t="s">
        <v>13</v>
      </c>
      <c r="X5" s="180"/>
      <c r="Y5" s="183" t="s">
        <v>14</v>
      </c>
      <c r="Z5" s="180"/>
      <c r="AA5" s="183" t="s">
        <v>15</v>
      </c>
      <c r="AB5" s="180"/>
      <c r="AC5" s="183" t="s">
        <v>16</v>
      </c>
      <c r="AD5" s="180"/>
      <c r="AE5" s="183" t="s">
        <v>17</v>
      </c>
      <c r="AF5" s="180"/>
      <c r="AG5" s="183" t="s">
        <v>18</v>
      </c>
      <c r="AH5" s="180"/>
      <c r="AI5" s="183" t="s">
        <v>19</v>
      </c>
      <c r="AJ5" s="180"/>
      <c r="AK5" s="183" t="s">
        <v>20</v>
      </c>
      <c r="AL5" s="180"/>
      <c r="AM5" s="184" t="s">
        <v>21</v>
      </c>
      <c r="AN5" s="180"/>
      <c r="AO5" s="183" t="s">
        <v>22</v>
      </c>
      <c r="AP5" s="180"/>
      <c r="AQ5" s="183" t="s">
        <v>23</v>
      </c>
      <c r="AR5" s="180"/>
      <c r="AS5" s="2"/>
    </row>
    <row r="6" spans="1:45" ht="12.75" customHeight="1">
      <c r="A6" s="182"/>
      <c r="B6" s="8"/>
      <c r="C6" s="182"/>
      <c r="D6" s="8"/>
      <c r="E6" s="9" t="s">
        <v>24</v>
      </c>
      <c r="F6" s="10" t="s">
        <v>25</v>
      </c>
      <c r="G6" s="10" t="s">
        <v>24</v>
      </c>
      <c r="H6" s="10" t="s">
        <v>25</v>
      </c>
      <c r="I6" s="10" t="s">
        <v>24</v>
      </c>
      <c r="J6" s="10" t="s">
        <v>25</v>
      </c>
      <c r="K6" s="10" t="s">
        <v>24</v>
      </c>
      <c r="L6" s="10" t="s">
        <v>25</v>
      </c>
      <c r="M6" s="10" t="s">
        <v>24</v>
      </c>
      <c r="N6" s="10" t="s">
        <v>25</v>
      </c>
      <c r="O6" s="10" t="s">
        <v>24</v>
      </c>
      <c r="P6" s="10" t="s">
        <v>25</v>
      </c>
      <c r="Q6" s="10" t="s">
        <v>24</v>
      </c>
      <c r="R6" s="10" t="s">
        <v>25</v>
      </c>
      <c r="S6" s="10" t="s">
        <v>24</v>
      </c>
      <c r="T6" s="10" t="s">
        <v>25</v>
      </c>
      <c r="U6" s="10" t="s">
        <v>24</v>
      </c>
      <c r="V6" s="10" t="s">
        <v>25</v>
      </c>
      <c r="W6" s="10" t="s">
        <v>24</v>
      </c>
      <c r="X6" s="10" t="s">
        <v>25</v>
      </c>
      <c r="Y6" s="10" t="s">
        <v>24</v>
      </c>
      <c r="Z6" s="10" t="s">
        <v>25</v>
      </c>
      <c r="AA6" s="10" t="s">
        <v>24</v>
      </c>
      <c r="AB6" s="10" t="s">
        <v>25</v>
      </c>
      <c r="AC6" s="10" t="s">
        <v>24</v>
      </c>
      <c r="AD6" s="10" t="s">
        <v>25</v>
      </c>
      <c r="AE6" s="10" t="s">
        <v>24</v>
      </c>
      <c r="AF6" s="10" t="s">
        <v>25</v>
      </c>
      <c r="AG6" s="10" t="s">
        <v>24</v>
      </c>
      <c r="AH6" s="10" t="s">
        <v>25</v>
      </c>
      <c r="AI6" s="10" t="s">
        <v>24</v>
      </c>
      <c r="AJ6" s="10" t="s">
        <v>25</v>
      </c>
      <c r="AK6" s="10" t="s">
        <v>24</v>
      </c>
      <c r="AL6" s="10" t="s">
        <v>25</v>
      </c>
      <c r="AM6" s="9" t="s">
        <v>24</v>
      </c>
      <c r="AN6" s="10" t="s">
        <v>25</v>
      </c>
      <c r="AO6" s="10" t="s">
        <v>24</v>
      </c>
      <c r="AP6" s="10" t="s">
        <v>25</v>
      </c>
      <c r="AQ6" s="10" t="s">
        <v>24</v>
      </c>
      <c r="AR6" s="10" t="s">
        <v>25</v>
      </c>
      <c r="AS6" s="3"/>
    </row>
    <row r="7" spans="1:45" ht="31.5" customHeight="1">
      <c r="A7" s="7"/>
      <c r="B7" s="11"/>
      <c r="C7" s="11" t="s">
        <v>26</v>
      </c>
      <c r="D7" s="6"/>
      <c r="E7" s="178" t="s">
        <v>27</v>
      </c>
      <c r="F7" s="179"/>
      <c r="G7" s="179"/>
      <c r="H7" s="179"/>
      <c r="I7" s="179"/>
      <c r="J7" s="180"/>
      <c r="K7" s="178" t="s">
        <v>28</v>
      </c>
      <c r="L7" s="179"/>
      <c r="M7" s="179"/>
      <c r="N7" s="180"/>
      <c r="O7" s="178" t="s">
        <v>29</v>
      </c>
      <c r="P7" s="180"/>
      <c r="Q7" s="178" t="s">
        <v>30</v>
      </c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80"/>
      <c r="AC7" s="178" t="s">
        <v>31</v>
      </c>
      <c r="AD7" s="179"/>
      <c r="AE7" s="179"/>
      <c r="AF7" s="179"/>
      <c r="AG7" s="179"/>
      <c r="AH7" s="179"/>
      <c r="AI7" s="179"/>
      <c r="AJ7" s="179"/>
      <c r="AK7" s="179"/>
      <c r="AL7" s="180"/>
      <c r="AM7" s="178" t="s">
        <v>32</v>
      </c>
      <c r="AN7" s="179"/>
      <c r="AO7" s="179"/>
      <c r="AP7" s="179"/>
      <c r="AQ7" s="179"/>
      <c r="AR7" s="180"/>
      <c r="AS7" s="2"/>
    </row>
    <row r="8" spans="1:45" ht="12.75" customHeight="1">
      <c r="A8" s="12"/>
      <c r="B8" s="13"/>
      <c r="C8" s="13" t="s">
        <v>33</v>
      </c>
      <c r="D8" s="14"/>
      <c r="E8" s="15">
        <f>E9+E24+E32+E41+E50+E61+E70+E79</f>
        <v>7</v>
      </c>
      <c r="F8" s="16">
        <v>7</v>
      </c>
      <c r="G8" s="17">
        <f>G9+G24+G32+G41+G50+G61+G70+G79</f>
        <v>23</v>
      </c>
      <c r="H8" s="18">
        <v>8</v>
      </c>
      <c r="I8" s="19">
        <f>I9+I24+I32+I41+I50+I61+I70+I79</f>
        <v>12</v>
      </c>
      <c r="J8" s="20">
        <v>8</v>
      </c>
      <c r="K8" s="21">
        <f>K9+K24+K32+K41+K50+K61+K70+K79</f>
        <v>36</v>
      </c>
      <c r="L8" s="18">
        <v>8</v>
      </c>
      <c r="M8" s="17">
        <f>M9+M24+M32+M41+M50+M61+M70+M79</f>
        <v>22</v>
      </c>
      <c r="N8" s="20">
        <v>8</v>
      </c>
      <c r="O8" s="22">
        <f>O9+O24+O32+O41+O50+O61+O70+O79</f>
        <v>36</v>
      </c>
      <c r="P8" s="23">
        <v>8</v>
      </c>
      <c r="Q8" s="21">
        <f>Q9+Q24+Q32+Q41+Q50+Q61+Q70+Q79</f>
        <v>34</v>
      </c>
      <c r="R8" s="16">
        <v>11</v>
      </c>
      <c r="S8" s="17">
        <f>S9+S24+S32+S41+S50+S61+S70+S79</f>
        <v>20</v>
      </c>
      <c r="T8" s="16">
        <v>10</v>
      </c>
      <c r="U8" s="15">
        <f>U9+U24+U32+U41+U50+U61+U70+U79</f>
        <v>9</v>
      </c>
      <c r="V8" s="16">
        <v>9</v>
      </c>
      <c r="W8" s="19">
        <f>W9+W24+W32+W41+W50+W61+W70+W79</f>
        <v>15</v>
      </c>
      <c r="X8" s="16">
        <v>10</v>
      </c>
      <c r="Y8" s="19">
        <f>Y9+Y24+Y32+Y41+Y50+Y61+Y70+Y79</f>
        <v>11</v>
      </c>
      <c r="Z8" s="16">
        <v>11</v>
      </c>
      <c r="AA8" s="15">
        <f>AA9+AA24+AA32+AA41+AA50+AA61+AA70+AA79</f>
        <v>9</v>
      </c>
      <c r="AB8" s="16">
        <v>9</v>
      </c>
      <c r="AC8" s="24">
        <f>AC9+AC24+AC32+AC41+AC50+AC61+AC70+AC79</f>
        <v>22</v>
      </c>
      <c r="AD8" s="18">
        <v>8</v>
      </c>
      <c r="AE8" s="25">
        <f>AE9+AE24+AE32+AE41+AE50+AE61+AE70+AE79</f>
        <v>33</v>
      </c>
      <c r="AF8" s="18">
        <v>8</v>
      </c>
      <c r="AG8" s="17">
        <f>AG9+AG24+AG32+AG41+AG50+AG61+AG70+AG79</f>
        <v>20</v>
      </c>
      <c r="AH8" s="18">
        <v>8</v>
      </c>
      <c r="AI8" s="25">
        <f>AI9+AI24+AI32+AI41+AI50+AI61+AI70+AI79</f>
        <v>33</v>
      </c>
      <c r="AJ8" s="18">
        <v>8</v>
      </c>
      <c r="AK8" s="17">
        <f>AK9+AK24+AK32+AK41+AK50+AK61+AK70+AK79</f>
        <v>21</v>
      </c>
      <c r="AL8" s="20">
        <v>8</v>
      </c>
      <c r="AM8" s="25">
        <f>AM9+AM24+AM32+AM41+AM50+AM61+AM70+AM79</f>
        <v>39</v>
      </c>
      <c r="AN8" s="18">
        <v>8</v>
      </c>
      <c r="AO8" s="25">
        <f>AO9+AO24+AO32+AO41+AO50+AO61+AO70+AO79</f>
        <v>39</v>
      </c>
      <c r="AP8" s="18">
        <v>8</v>
      </c>
      <c r="AQ8" s="19">
        <f>AQ9+AQ24+AQ32+AQ41+AQ50+AQ61+AQ70+AQ79</f>
        <v>12</v>
      </c>
      <c r="AR8" s="20">
        <v>8</v>
      </c>
      <c r="AS8" s="26"/>
    </row>
    <row r="9" spans="1:45" ht="14.4">
      <c r="A9" s="27"/>
      <c r="B9" s="28"/>
      <c r="C9" s="28" t="s">
        <v>34</v>
      </c>
      <c r="D9" s="29"/>
      <c r="E9" s="30">
        <f>SUM(E10:E23)</f>
        <v>4</v>
      </c>
      <c r="F9" s="31">
        <v>4</v>
      </c>
      <c r="G9" s="32">
        <f>SUM(G10:G23)</f>
        <v>5</v>
      </c>
      <c r="H9" s="33">
        <v>2</v>
      </c>
      <c r="I9" s="32">
        <f>SUM(I10:I23)</f>
        <v>8</v>
      </c>
      <c r="J9" s="34">
        <v>4</v>
      </c>
      <c r="K9" s="35">
        <f>SUM(K10:K23)</f>
        <v>7</v>
      </c>
      <c r="L9" s="33">
        <v>2</v>
      </c>
      <c r="M9" s="32">
        <f>SUM(M10:M23)</f>
        <v>3</v>
      </c>
      <c r="N9" s="34">
        <v>1</v>
      </c>
      <c r="O9" s="36">
        <f>SUM(O10:O23)</f>
        <v>7</v>
      </c>
      <c r="P9" s="34">
        <v>1</v>
      </c>
      <c r="Q9" s="36">
        <f>SUM(Q10:Q23)</f>
        <v>9</v>
      </c>
      <c r="R9" s="37">
        <v>2</v>
      </c>
      <c r="S9" s="32">
        <f>SUM(S10:S23)</f>
        <v>4</v>
      </c>
      <c r="T9" s="33">
        <v>2</v>
      </c>
      <c r="U9" s="32">
        <f>SUM(U10:U23)</f>
        <v>3</v>
      </c>
      <c r="V9" s="33">
        <v>3</v>
      </c>
      <c r="W9" s="32">
        <f>SUM(W10:W23)</f>
        <v>3</v>
      </c>
      <c r="X9" s="33">
        <v>2</v>
      </c>
      <c r="Y9" s="32">
        <f>SUM(Y10:Y23)</f>
        <v>2</v>
      </c>
      <c r="Z9" s="33">
        <v>2</v>
      </c>
      <c r="AA9" s="32">
        <f>SUM(AA10:AA23)</f>
        <v>5</v>
      </c>
      <c r="AB9" s="33">
        <v>5</v>
      </c>
      <c r="AC9" s="36">
        <f>SUM(AC10:AC23)</f>
        <v>6</v>
      </c>
      <c r="AD9" s="33">
        <v>2</v>
      </c>
      <c r="AE9" s="32">
        <f>SUM(AE10:AE23)</f>
        <v>9</v>
      </c>
      <c r="AF9" s="33">
        <v>2</v>
      </c>
      <c r="AG9" s="32">
        <f>SUM(AG10:AG23)</f>
        <v>9</v>
      </c>
      <c r="AH9" s="33">
        <v>3</v>
      </c>
      <c r="AI9" s="32">
        <f>SUM(AI10:AI23)</f>
        <v>11</v>
      </c>
      <c r="AJ9" s="33">
        <v>3</v>
      </c>
      <c r="AK9" s="32">
        <f>SUM(AK10:AK23)</f>
        <v>10</v>
      </c>
      <c r="AL9" s="34">
        <v>4</v>
      </c>
      <c r="AM9" s="38">
        <f>SUM(AM10:AM23)</f>
        <v>19</v>
      </c>
      <c r="AN9" s="33">
        <v>4</v>
      </c>
      <c r="AO9" s="38">
        <f>SUM(AO10:AO23)</f>
        <v>17</v>
      </c>
      <c r="AP9" s="33">
        <v>4</v>
      </c>
      <c r="AQ9" s="38">
        <f>SUM(AQ10:AQ23)</f>
        <v>5</v>
      </c>
      <c r="AR9" s="39">
        <v>5</v>
      </c>
      <c r="AS9" s="40"/>
    </row>
    <row r="10" spans="1:45" ht="12.75" customHeight="1">
      <c r="A10" s="41">
        <v>1</v>
      </c>
      <c r="B10" s="42" t="s">
        <v>34</v>
      </c>
      <c r="C10" s="43" t="s">
        <v>35</v>
      </c>
      <c r="D10" s="44"/>
      <c r="E10" s="45">
        <v>1</v>
      </c>
      <c r="F10" s="46">
        <v>0</v>
      </c>
      <c r="G10" s="46">
        <v>1</v>
      </c>
      <c r="H10" s="47">
        <v>0</v>
      </c>
      <c r="I10" s="46"/>
      <c r="J10" s="48">
        <v>0</v>
      </c>
      <c r="K10" s="176">
        <v>1</v>
      </c>
      <c r="L10" s="47">
        <v>0</v>
      </c>
      <c r="M10" s="46"/>
      <c r="N10" s="48">
        <v>0</v>
      </c>
      <c r="O10" s="49"/>
      <c r="P10" s="48">
        <v>0</v>
      </c>
      <c r="Q10" s="49">
        <v>1</v>
      </c>
      <c r="R10" s="50"/>
      <c r="S10" s="46"/>
      <c r="T10" s="47">
        <v>0</v>
      </c>
      <c r="U10" s="46"/>
      <c r="V10" s="47">
        <v>0</v>
      </c>
      <c r="W10" s="46">
        <v>1</v>
      </c>
      <c r="X10" s="47"/>
      <c r="Y10" s="46">
        <v>1</v>
      </c>
      <c r="Z10" s="47"/>
      <c r="AA10" s="46"/>
      <c r="AB10" s="47"/>
      <c r="AC10" s="49"/>
      <c r="AD10" s="47">
        <v>0</v>
      </c>
      <c r="AE10" s="46">
        <v>1</v>
      </c>
      <c r="AF10" s="47">
        <v>0</v>
      </c>
      <c r="AG10" s="46"/>
      <c r="AH10" s="47">
        <v>0</v>
      </c>
      <c r="AI10" s="46">
        <v>1</v>
      </c>
      <c r="AJ10" s="47">
        <v>0</v>
      </c>
      <c r="AK10" s="46">
        <v>1</v>
      </c>
      <c r="AL10" s="48">
        <v>0</v>
      </c>
      <c r="AM10" s="51"/>
      <c r="AN10" s="47">
        <v>0</v>
      </c>
      <c r="AO10" s="51"/>
      <c r="AP10" s="47">
        <v>0</v>
      </c>
      <c r="AQ10" s="51"/>
      <c r="AR10" s="52">
        <v>0</v>
      </c>
      <c r="AS10" s="53"/>
    </row>
    <row r="11" spans="1:45" ht="15" customHeight="1">
      <c r="A11" s="41">
        <f t="shared" ref="A11:A23" si="0">A10+1</f>
        <v>2</v>
      </c>
      <c r="B11" s="54" t="s">
        <v>34</v>
      </c>
      <c r="C11" s="55" t="s">
        <v>36</v>
      </c>
      <c r="D11" s="44"/>
      <c r="E11" s="45"/>
      <c r="F11" s="46">
        <v>0</v>
      </c>
      <c r="G11" s="46"/>
      <c r="H11" s="47">
        <v>0</v>
      </c>
      <c r="I11" s="46"/>
      <c r="J11" s="48">
        <v>0</v>
      </c>
      <c r="K11" s="174"/>
      <c r="L11" s="47">
        <v>0</v>
      </c>
      <c r="M11" s="46"/>
      <c r="N11" s="48">
        <v>0</v>
      </c>
      <c r="O11" s="49"/>
      <c r="P11" s="48">
        <v>0</v>
      </c>
      <c r="Q11" s="49">
        <v>1</v>
      </c>
      <c r="R11" s="50"/>
      <c r="S11" s="46"/>
      <c r="T11" s="47">
        <v>0</v>
      </c>
      <c r="U11" s="46"/>
      <c r="V11" s="47">
        <v>0</v>
      </c>
      <c r="W11" s="46"/>
      <c r="X11" s="47"/>
      <c r="Y11" s="46"/>
      <c r="Z11" s="47"/>
      <c r="AA11" s="46"/>
      <c r="AB11" s="47"/>
      <c r="AC11" s="49"/>
      <c r="AD11" s="47">
        <v>0</v>
      </c>
      <c r="AE11" s="46"/>
      <c r="AF11" s="47">
        <v>0</v>
      </c>
      <c r="AG11" s="46"/>
      <c r="AH11" s="47">
        <v>0</v>
      </c>
      <c r="AI11" s="46">
        <v>1</v>
      </c>
      <c r="AJ11" s="47">
        <v>0</v>
      </c>
      <c r="AK11" s="46"/>
      <c r="AL11" s="48">
        <v>0</v>
      </c>
      <c r="AM11" s="45"/>
      <c r="AN11" s="47">
        <v>0</v>
      </c>
      <c r="AO11" s="46"/>
      <c r="AP11" s="47">
        <v>0</v>
      </c>
      <c r="AQ11" s="46"/>
      <c r="AR11" s="56">
        <v>0</v>
      </c>
      <c r="AS11" s="42"/>
    </row>
    <row r="12" spans="1:45" ht="15" customHeight="1">
      <c r="A12" s="41">
        <f t="shared" si="0"/>
        <v>3</v>
      </c>
      <c r="B12" s="54" t="s">
        <v>34</v>
      </c>
      <c r="C12" s="57" t="s">
        <v>37</v>
      </c>
      <c r="D12" s="44"/>
      <c r="E12" s="45"/>
      <c r="F12" s="46">
        <v>0</v>
      </c>
      <c r="G12" s="46"/>
      <c r="H12" s="47">
        <v>0</v>
      </c>
      <c r="I12" s="46"/>
      <c r="J12" s="48">
        <v>0</v>
      </c>
      <c r="K12" s="175"/>
      <c r="L12" s="47">
        <v>0</v>
      </c>
      <c r="M12" s="46"/>
      <c r="N12" s="48">
        <v>0</v>
      </c>
      <c r="O12" s="49"/>
      <c r="P12" s="48">
        <v>0</v>
      </c>
      <c r="Q12" s="49">
        <v>3</v>
      </c>
      <c r="R12" s="50"/>
      <c r="S12" s="46">
        <v>1</v>
      </c>
      <c r="T12" s="47">
        <v>0</v>
      </c>
      <c r="U12" s="46"/>
      <c r="V12" s="47">
        <v>0</v>
      </c>
      <c r="W12" s="46">
        <v>1</v>
      </c>
      <c r="X12" s="47"/>
      <c r="Y12" s="46"/>
      <c r="Z12" s="47"/>
      <c r="AA12" s="46"/>
      <c r="AB12" s="47"/>
      <c r="AC12" s="49">
        <v>1</v>
      </c>
      <c r="AD12" s="47">
        <v>0</v>
      </c>
      <c r="AE12" s="46"/>
      <c r="AF12" s="47">
        <v>0</v>
      </c>
      <c r="AG12" s="46"/>
      <c r="AH12" s="47">
        <v>0</v>
      </c>
      <c r="AI12" s="46">
        <v>2</v>
      </c>
      <c r="AJ12" s="47">
        <v>0</v>
      </c>
      <c r="AK12" s="46"/>
      <c r="AL12" s="48">
        <v>0</v>
      </c>
      <c r="AM12" s="45"/>
      <c r="AN12" s="47">
        <v>0</v>
      </c>
      <c r="AO12" s="46"/>
      <c r="AP12" s="47">
        <v>0</v>
      </c>
      <c r="AQ12" s="46"/>
      <c r="AR12" s="56">
        <v>0</v>
      </c>
      <c r="AS12" s="42"/>
    </row>
    <row r="13" spans="1:45" ht="12.75" customHeight="1">
      <c r="A13" s="41">
        <f t="shared" si="0"/>
        <v>4</v>
      </c>
      <c r="B13" s="54" t="s">
        <v>34</v>
      </c>
      <c r="C13" s="57" t="s">
        <v>38</v>
      </c>
      <c r="D13" s="44"/>
      <c r="E13" s="45">
        <v>1</v>
      </c>
      <c r="F13" s="46">
        <v>0</v>
      </c>
      <c r="G13" s="46">
        <v>1</v>
      </c>
      <c r="H13" s="47">
        <v>0</v>
      </c>
      <c r="I13" s="46"/>
      <c r="J13" s="48">
        <v>0</v>
      </c>
      <c r="K13" s="176">
        <v>1</v>
      </c>
      <c r="L13" s="47">
        <v>0</v>
      </c>
      <c r="M13" s="46"/>
      <c r="N13" s="48">
        <v>0</v>
      </c>
      <c r="O13" s="49"/>
      <c r="P13" s="48">
        <v>0</v>
      </c>
      <c r="Q13" s="49"/>
      <c r="R13" s="50"/>
      <c r="S13" s="46"/>
      <c r="T13" s="47">
        <v>0</v>
      </c>
      <c r="U13" s="46"/>
      <c r="V13" s="47">
        <v>0</v>
      </c>
      <c r="W13" s="46"/>
      <c r="X13" s="47"/>
      <c r="Y13" s="46"/>
      <c r="Z13" s="47"/>
      <c r="AA13" s="46"/>
      <c r="AB13" s="47"/>
      <c r="AC13" s="49"/>
      <c r="AD13" s="47">
        <v>0</v>
      </c>
      <c r="AE13" s="46"/>
      <c r="AF13" s="47">
        <v>0</v>
      </c>
      <c r="AG13" s="46"/>
      <c r="AH13" s="47">
        <v>0</v>
      </c>
      <c r="AI13" s="46"/>
      <c r="AJ13" s="47">
        <v>0</v>
      </c>
      <c r="AK13" s="46"/>
      <c r="AL13" s="48">
        <v>0</v>
      </c>
      <c r="AM13" s="45">
        <v>1</v>
      </c>
      <c r="AN13" s="47">
        <v>0</v>
      </c>
      <c r="AO13" s="46"/>
      <c r="AP13" s="47">
        <v>0</v>
      </c>
      <c r="AQ13" s="46"/>
      <c r="AR13" s="56">
        <v>0</v>
      </c>
      <c r="AS13" s="42"/>
    </row>
    <row r="14" spans="1:45" ht="15" customHeight="1">
      <c r="A14" s="41">
        <f t="shared" si="0"/>
        <v>5</v>
      </c>
      <c r="B14" s="54" t="s">
        <v>34</v>
      </c>
      <c r="C14" s="57" t="s">
        <v>39</v>
      </c>
      <c r="D14" s="44"/>
      <c r="E14" s="45"/>
      <c r="F14" s="46">
        <v>0</v>
      </c>
      <c r="G14" s="46"/>
      <c r="H14" s="47">
        <v>0</v>
      </c>
      <c r="I14" s="46"/>
      <c r="J14" s="48">
        <v>0</v>
      </c>
      <c r="K14" s="175"/>
      <c r="L14" s="47">
        <v>0</v>
      </c>
      <c r="M14" s="46"/>
      <c r="N14" s="48">
        <v>0</v>
      </c>
      <c r="O14" s="49"/>
      <c r="P14" s="48">
        <v>0</v>
      </c>
      <c r="Q14" s="49"/>
      <c r="R14" s="50"/>
      <c r="S14" s="46"/>
      <c r="T14" s="47">
        <v>0</v>
      </c>
      <c r="U14" s="46"/>
      <c r="V14" s="47">
        <v>0</v>
      </c>
      <c r="W14" s="46"/>
      <c r="X14" s="47"/>
      <c r="Y14" s="46"/>
      <c r="Z14" s="47"/>
      <c r="AA14" s="46"/>
      <c r="AB14" s="47"/>
      <c r="AC14" s="49"/>
      <c r="AD14" s="47">
        <v>0</v>
      </c>
      <c r="AE14" s="46"/>
      <c r="AF14" s="47">
        <v>0</v>
      </c>
      <c r="AG14" s="46"/>
      <c r="AH14" s="47">
        <v>0</v>
      </c>
      <c r="AI14" s="46"/>
      <c r="AJ14" s="47">
        <v>0</v>
      </c>
      <c r="AK14" s="46"/>
      <c r="AL14" s="48">
        <v>0</v>
      </c>
      <c r="AM14" s="45"/>
      <c r="AN14" s="47">
        <v>0</v>
      </c>
      <c r="AO14" s="46"/>
      <c r="AP14" s="47">
        <v>0</v>
      </c>
      <c r="AQ14" s="46"/>
      <c r="AR14" s="56">
        <v>0</v>
      </c>
      <c r="AS14" s="42"/>
    </row>
    <row r="15" spans="1:45" ht="12.75" customHeight="1">
      <c r="A15" s="41">
        <f t="shared" si="0"/>
        <v>6</v>
      </c>
      <c r="B15" s="54" t="s">
        <v>34</v>
      </c>
      <c r="C15" s="57" t="s">
        <v>40</v>
      </c>
      <c r="D15" s="44"/>
      <c r="E15" s="45"/>
      <c r="F15" s="46">
        <v>0</v>
      </c>
      <c r="G15" s="46"/>
      <c r="H15" s="47">
        <v>0</v>
      </c>
      <c r="I15" s="46"/>
      <c r="J15" s="48">
        <v>0</v>
      </c>
      <c r="K15" s="176">
        <v>1</v>
      </c>
      <c r="L15" s="47">
        <v>0</v>
      </c>
      <c r="M15" s="46"/>
      <c r="N15" s="48">
        <v>0</v>
      </c>
      <c r="O15" s="173">
        <v>1</v>
      </c>
      <c r="P15" s="48">
        <v>0</v>
      </c>
      <c r="Q15" s="49"/>
      <c r="R15" s="50"/>
      <c r="S15" s="46"/>
      <c r="T15" s="47">
        <v>0</v>
      </c>
      <c r="U15" s="46"/>
      <c r="V15" s="47">
        <v>0</v>
      </c>
      <c r="W15" s="46"/>
      <c r="X15" s="47"/>
      <c r="Y15" s="46"/>
      <c r="Z15" s="47"/>
      <c r="AA15" s="46"/>
      <c r="AB15" s="47"/>
      <c r="AC15" s="49"/>
      <c r="AD15" s="47">
        <v>0</v>
      </c>
      <c r="AE15" s="46"/>
      <c r="AF15" s="47">
        <v>0</v>
      </c>
      <c r="AG15" s="46"/>
      <c r="AH15" s="47">
        <v>0</v>
      </c>
      <c r="AI15" s="46"/>
      <c r="AJ15" s="47">
        <v>0</v>
      </c>
      <c r="AK15" s="46"/>
      <c r="AL15" s="48">
        <v>0</v>
      </c>
      <c r="AM15" s="45">
        <v>1</v>
      </c>
      <c r="AN15" s="47">
        <v>0</v>
      </c>
      <c r="AO15" s="46"/>
      <c r="AP15" s="47">
        <v>0</v>
      </c>
      <c r="AQ15" s="46"/>
      <c r="AR15" s="56">
        <v>0</v>
      </c>
      <c r="AS15" s="42"/>
    </row>
    <row r="16" spans="1:45" ht="15" customHeight="1">
      <c r="A16" s="41">
        <f t="shared" si="0"/>
        <v>7</v>
      </c>
      <c r="B16" s="54" t="s">
        <v>34</v>
      </c>
      <c r="C16" s="57" t="s">
        <v>41</v>
      </c>
      <c r="D16" s="44"/>
      <c r="E16" s="45"/>
      <c r="F16" s="46">
        <v>0</v>
      </c>
      <c r="G16" s="46"/>
      <c r="H16" s="47">
        <v>0</v>
      </c>
      <c r="I16" s="46"/>
      <c r="J16" s="48">
        <v>0</v>
      </c>
      <c r="K16" s="175"/>
      <c r="L16" s="47">
        <v>0</v>
      </c>
      <c r="M16" s="46"/>
      <c r="N16" s="48">
        <v>0</v>
      </c>
      <c r="O16" s="175"/>
      <c r="P16" s="48">
        <v>0</v>
      </c>
      <c r="Q16" s="49"/>
      <c r="R16" s="50"/>
      <c r="S16" s="46"/>
      <c r="T16" s="47">
        <v>0</v>
      </c>
      <c r="U16" s="46"/>
      <c r="V16" s="47">
        <v>0</v>
      </c>
      <c r="W16" s="46"/>
      <c r="X16" s="47"/>
      <c r="Y16" s="46"/>
      <c r="Z16" s="47"/>
      <c r="AA16" s="46"/>
      <c r="AB16" s="47"/>
      <c r="AC16" s="49">
        <v>1</v>
      </c>
      <c r="AD16" s="47">
        <v>0</v>
      </c>
      <c r="AE16" s="46">
        <v>1</v>
      </c>
      <c r="AF16" s="47">
        <v>0</v>
      </c>
      <c r="AG16" s="46">
        <v>2</v>
      </c>
      <c r="AH16" s="47">
        <v>0</v>
      </c>
      <c r="AI16" s="46">
        <v>1</v>
      </c>
      <c r="AJ16" s="47">
        <v>0</v>
      </c>
      <c r="AK16" s="46">
        <v>1</v>
      </c>
      <c r="AL16" s="48">
        <v>0</v>
      </c>
      <c r="AM16" s="45">
        <v>1</v>
      </c>
      <c r="AN16" s="47">
        <v>0</v>
      </c>
      <c r="AO16" s="46">
        <v>1</v>
      </c>
      <c r="AP16" s="47">
        <v>0</v>
      </c>
      <c r="AQ16" s="46"/>
      <c r="AR16" s="56">
        <v>0</v>
      </c>
      <c r="AS16" s="42"/>
    </row>
    <row r="17" spans="1:45" ht="12.75" customHeight="1">
      <c r="A17" s="41">
        <f t="shared" si="0"/>
        <v>8</v>
      </c>
      <c r="B17" s="54" t="s">
        <v>34</v>
      </c>
      <c r="C17" s="57" t="s">
        <v>42</v>
      </c>
      <c r="D17" s="44"/>
      <c r="E17" s="45">
        <v>1</v>
      </c>
      <c r="F17" s="46">
        <v>0</v>
      </c>
      <c r="G17" s="46"/>
      <c r="H17" s="47">
        <v>0</v>
      </c>
      <c r="I17" s="46"/>
      <c r="J17" s="48">
        <v>0</v>
      </c>
      <c r="K17" s="176">
        <v>1</v>
      </c>
      <c r="L17" s="47">
        <v>0</v>
      </c>
      <c r="M17" s="177">
        <v>1</v>
      </c>
      <c r="N17" s="48">
        <v>0</v>
      </c>
      <c r="O17" s="49">
        <v>1</v>
      </c>
      <c r="P17" s="48">
        <v>0</v>
      </c>
      <c r="Q17" s="49">
        <v>1</v>
      </c>
      <c r="R17" s="50"/>
      <c r="S17" s="46"/>
      <c r="T17" s="47">
        <v>0</v>
      </c>
      <c r="U17" s="46"/>
      <c r="V17" s="47">
        <v>0</v>
      </c>
      <c r="W17" s="46"/>
      <c r="X17" s="47"/>
      <c r="Y17" s="46"/>
      <c r="Z17" s="47"/>
      <c r="AA17" s="46"/>
      <c r="AB17" s="47"/>
      <c r="AC17" s="49"/>
      <c r="AD17" s="47">
        <v>0</v>
      </c>
      <c r="AE17" s="46"/>
      <c r="AF17" s="47">
        <v>0</v>
      </c>
      <c r="AG17" s="46">
        <v>1</v>
      </c>
      <c r="AH17" s="47">
        <v>0</v>
      </c>
      <c r="AI17" s="46"/>
      <c r="AJ17" s="47">
        <v>0</v>
      </c>
      <c r="AK17" s="46"/>
      <c r="AL17" s="48">
        <v>0</v>
      </c>
      <c r="AM17" s="45"/>
      <c r="AN17" s="47">
        <v>0</v>
      </c>
      <c r="AO17" s="46"/>
      <c r="AP17" s="47">
        <v>0</v>
      </c>
      <c r="AQ17" s="46"/>
      <c r="AR17" s="56">
        <v>0</v>
      </c>
      <c r="AS17" s="42"/>
    </row>
    <row r="18" spans="1:45" ht="15" customHeight="1">
      <c r="A18" s="41">
        <f t="shared" si="0"/>
        <v>9</v>
      </c>
      <c r="B18" s="54" t="s">
        <v>34</v>
      </c>
      <c r="C18" s="57" t="s">
        <v>43</v>
      </c>
      <c r="D18" s="44"/>
      <c r="E18" s="45"/>
      <c r="F18" s="46">
        <v>0</v>
      </c>
      <c r="G18" s="46"/>
      <c r="H18" s="47">
        <v>0</v>
      </c>
      <c r="I18" s="46">
        <v>1</v>
      </c>
      <c r="J18" s="48">
        <v>0</v>
      </c>
      <c r="K18" s="175"/>
      <c r="L18" s="47">
        <v>0</v>
      </c>
      <c r="M18" s="163"/>
      <c r="N18" s="48">
        <v>0</v>
      </c>
      <c r="O18" s="49"/>
      <c r="P18" s="48">
        <v>0</v>
      </c>
      <c r="Q18" s="49"/>
      <c r="R18" s="50"/>
      <c r="S18" s="46"/>
      <c r="T18" s="47">
        <v>0</v>
      </c>
      <c r="U18" s="46"/>
      <c r="V18" s="47">
        <v>0</v>
      </c>
      <c r="W18" s="46"/>
      <c r="X18" s="47"/>
      <c r="Y18" s="46"/>
      <c r="Z18" s="47"/>
      <c r="AA18" s="46"/>
      <c r="AB18" s="47"/>
      <c r="AC18" s="49">
        <v>1</v>
      </c>
      <c r="AD18" s="47">
        <v>0</v>
      </c>
      <c r="AE18" s="46">
        <v>3</v>
      </c>
      <c r="AF18" s="47">
        <v>0</v>
      </c>
      <c r="AG18" s="46">
        <v>1</v>
      </c>
      <c r="AH18" s="47">
        <v>0</v>
      </c>
      <c r="AI18" s="46"/>
      <c r="AJ18" s="47">
        <v>0</v>
      </c>
      <c r="AK18" s="46"/>
      <c r="AL18" s="48">
        <v>0</v>
      </c>
      <c r="AM18" s="45">
        <v>1</v>
      </c>
      <c r="AN18" s="47">
        <v>0</v>
      </c>
      <c r="AO18" s="46">
        <v>1</v>
      </c>
      <c r="AP18" s="47">
        <v>0</v>
      </c>
      <c r="AQ18" s="46"/>
      <c r="AR18" s="56">
        <v>0</v>
      </c>
      <c r="AS18" s="42"/>
    </row>
    <row r="19" spans="1:45" ht="12.75" customHeight="1">
      <c r="A19" s="41">
        <f t="shared" si="0"/>
        <v>10</v>
      </c>
      <c r="B19" s="54" t="s">
        <v>34</v>
      </c>
      <c r="C19" s="57" t="s">
        <v>44</v>
      </c>
      <c r="D19" s="44"/>
      <c r="E19" s="45"/>
      <c r="F19" s="46">
        <v>0</v>
      </c>
      <c r="G19" s="46"/>
      <c r="H19" s="47">
        <v>0</v>
      </c>
      <c r="I19" s="46">
        <v>4</v>
      </c>
      <c r="J19" s="48">
        <v>0</v>
      </c>
      <c r="K19" s="59">
        <v>1</v>
      </c>
      <c r="L19" s="47">
        <v>0</v>
      </c>
      <c r="M19" s="46" t="s">
        <v>45</v>
      </c>
      <c r="N19" s="48">
        <v>0</v>
      </c>
      <c r="O19" s="49">
        <v>1</v>
      </c>
      <c r="P19" s="48">
        <v>0</v>
      </c>
      <c r="Q19" s="49">
        <v>2</v>
      </c>
      <c r="R19" s="50"/>
      <c r="S19" s="46"/>
      <c r="T19" s="47">
        <v>0</v>
      </c>
      <c r="U19" s="46">
        <v>2</v>
      </c>
      <c r="V19" s="47">
        <v>0</v>
      </c>
      <c r="W19" s="46"/>
      <c r="X19" s="47"/>
      <c r="Y19" s="46"/>
      <c r="Z19" s="47"/>
      <c r="AA19" s="46">
        <v>2</v>
      </c>
      <c r="AB19" s="47"/>
      <c r="AC19" s="49">
        <v>1</v>
      </c>
      <c r="AD19" s="47">
        <v>0</v>
      </c>
      <c r="AE19" s="46">
        <v>3</v>
      </c>
      <c r="AF19" s="47">
        <v>0</v>
      </c>
      <c r="AG19" s="46">
        <v>4</v>
      </c>
      <c r="AH19" s="47">
        <v>0</v>
      </c>
      <c r="AI19" s="46">
        <v>2</v>
      </c>
      <c r="AJ19" s="47">
        <v>0</v>
      </c>
      <c r="AK19" s="46">
        <v>6</v>
      </c>
      <c r="AL19" s="48">
        <v>0</v>
      </c>
      <c r="AM19" s="45">
        <v>4</v>
      </c>
      <c r="AN19" s="47">
        <v>0</v>
      </c>
      <c r="AO19" s="46">
        <v>6</v>
      </c>
      <c r="AP19" s="47">
        <v>0</v>
      </c>
      <c r="AQ19" s="46">
        <v>2</v>
      </c>
      <c r="AR19" s="56">
        <v>0</v>
      </c>
      <c r="AS19" s="42"/>
    </row>
    <row r="20" spans="1:45" ht="12.75" customHeight="1">
      <c r="A20" s="41">
        <f t="shared" si="0"/>
        <v>11</v>
      </c>
      <c r="B20" s="54" t="s">
        <v>34</v>
      </c>
      <c r="C20" s="57" t="s">
        <v>46</v>
      </c>
      <c r="D20" s="44"/>
      <c r="E20" s="45">
        <v>1</v>
      </c>
      <c r="F20" s="46">
        <v>0</v>
      </c>
      <c r="G20" s="46">
        <v>1</v>
      </c>
      <c r="H20" s="47">
        <v>0</v>
      </c>
      <c r="I20" s="46"/>
      <c r="J20" s="48">
        <v>0</v>
      </c>
      <c r="K20" s="59"/>
      <c r="L20" s="47">
        <v>0</v>
      </c>
      <c r="M20" s="46"/>
      <c r="N20" s="48">
        <v>0</v>
      </c>
      <c r="O20" s="49">
        <v>1</v>
      </c>
      <c r="P20" s="48">
        <v>0</v>
      </c>
      <c r="Q20" s="49"/>
      <c r="R20" s="50"/>
      <c r="S20" s="46"/>
      <c r="T20" s="47">
        <v>0</v>
      </c>
      <c r="U20" s="46"/>
      <c r="V20" s="47">
        <v>0</v>
      </c>
      <c r="W20" s="46">
        <v>1</v>
      </c>
      <c r="X20" s="47"/>
      <c r="Y20" s="46">
        <v>1</v>
      </c>
      <c r="Z20" s="47"/>
      <c r="AA20" s="46"/>
      <c r="AB20" s="47"/>
      <c r="AC20" s="49">
        <v>1</v>
      </c>
      <c r="AD20" s="47">
        <v>0</v>
      </c>
      <c r="AE20" s="46">
        <v>1</v>
      </c>
      <c r="AF20" s="47">
        <v>0</v>
      </c>
      <c r="AG20" s="46"/>
      <c r="AH20" s="47">
        <v>0</v>
      </c>
      <c r="AI20" s="46">
        <v>1</v>
      </c>
      <c r="AJ20" s="47">
        <v>0</v>
      </c>
      <c r="AK20" s="46"/>
      <c r="AL20" s="48">
        <v>0</v>
      </c>
      <c r="AM20" s="45">
        <v>2</v>
      </c>
      <c r="AN20" s="47">
        <v>0</v>
      </c>
      <c r="AO20" s="46">
        <v>1</v>
      </c>
      <c r="AP20" s="47">
        <v>0</v>
      </c>
      <c r="AQ20" s="46"/>
      <c r="AR20" s="56">
        <v>0</v>
      </c>
      <c r="AS20" s="42"/>
    </row>
    <row r="21" spans="1:45" ht="12.75" customHeight="1">
      <c r="A21" s="41">
        <f t="shared" si="0"/>
        <v>12</v>
      </c>
      <c r="B21" s="54" t="s">
        <v>34</v>
      </c>
      <c r="C21" s="60" t="s">
        <v>47</v>
      </c>
      <c r="D21" s="44"/>
      <c r="E21" s="45"/>
      <c r="F21" s="46">
        <v>0</v>
      </c>
      <c r="G21" s="46"/>
      <c r="H21" s="47">
        <v>0</v>
      </c>
      <c r="I21" s="46"/>
      <c r="J21" s="48">
        <v>0</v>
      </c>
      <c r="K21" s="59">
        <v>1</v>
      </c>
      <c r="L21" s="47">
        <v>0</v>
      </c>
      <c r="M21" s="46"/>
      <c r="N21" s="48">
        <v>0</v>
      </c>
      <c r="O21" s="49">
        <v>1</v>
      </c>
      <c r="P21" s="48">
        <v>0</v>
      </c>
      <c r="Q21" s="49"/>
      <c r="R21" s="50"/>
      <c r="S21" s="46"/>
      <c r="T21" s="47">
        <v>0</v>
      </c>
      <c r="U21" s="46"/>
      <c r="V21" s="47">
        <v>0</v>
      </c>
      <c r="W21" s="46"/>
      <c r="X21" s="47"/>
      <c r="Y21" s="46"/>
      <c r="Z21" s="47"/>
      <c r="AA21" s="46"/>
      <c r="AB21" s="47"/>
      <c r="AC21" s="49">
        <v>1</v>
      </c>
      <c r="AD21" s="47">
        <v>0</v>
      </c>
      <c r="AE21" s="46"/>
      <c r="AF21" s="47">
        <v>0</v>
      </c>
      <c r="AG21" s="46"/>
      <c r="AH21" s="47">
        <v>0</v>
      </c>
      <c r="AI21" s="46">
        <v>2</v>
      </c>
      <c r="AJ21" s="47">
        <v>0</v>
      </c>
      <c r="AK21" s="46"/>
      <c r="AL21" s="48">
        <v>0</v>
      </c>
      <c r="AM21" s="45">
        <v>2</v>
      </c>
      <c r="AN21" s="47">
        <v>0</v>
      </c>
      <c r="AO21" s="46"/>
      <c r="AP21" s="47">
        <v>0</v>
      </c>
      <c r="AQ21" s="46"/>
      <c r="AR21" s="56">
        <v>0</v>
      </c>
      <c r="AS21" s="42"/>
    </row>
    <row r="22" spans="1:45" ht="12.75" customHeight="1">
      <c r="A22" s="41">
        <f t="shared" si="0"/>
        <v>13</v>
      </c>
      <c r="B22" s="54" t="s">
        <v>34</v>
      </c>
      <c r="C22" s="57" t="s">
        <v>48</v>
      </c>
      <c r="D22" s="44"/>
      <c r="E22" s="45"/>
      <c r="F22" s="46">
        <v>0</v>
      </c>
      <c r="G22" s="46">
        <v>2</v>
      </c>
      <c r="H22" s="47">
        <v>0</v>
      </c>
      <c r="I22" s="46">
        <v>3</v>
      </c>
      <c r="J22" s="48">
        <v>0</v>
      </c>
      <c r="K22" s="59">
        <v>1</v>
      </c>
      <c r="L22" s="47">
        <v>0</v>
      </c>
      <c r="M22" s="46">
        <v>1</v>
      </c>
      <c r="N22" s="48">
        <v>0</v>
      </c>
      <c r="O22" s="49">
        <v>1</v>
      </c>
      <c r="P22" s="48">
        <v>0</v>
      </c>
      <c r="Q22" s="49">
        <v>1</v>
      </c>
      <c r="R22" s="50"/>
      <c r="S22" s="46">
        <v>3</v>
      </c>
      <c r="T22" s="47">
        <v>0</v>
      </c>
      <c r="U22" s="46">
        <v>1</v>
      </c>
      <c r="V22" s="47">
        <v>0</v>
      </c>
      <c r="W22" s="46"/>
      <c r="X22" s="47"/>
      <c r="Y22" s="46"/>
      <c r="Z22" s="47"/>
      <c r="AA22" s="46">
        <v>3</v>
      </c>
      <c r="AB22" s="47"/>
      <c r="AC22" s="49"/>
      <c r="AD22" s="47">
        <v>0</v>
      </c>
      <c r="AE22" s="46"/>
      <c r="AF22" s="47">
        <v>0</v>
      </c>
      <c r="AG22" s="46">
        <v>1</v>
      </c>
      <c r="AH22" s="47">
        <v>0</v>
      </c>
      <c r="AI22" s="46">
        <v>1</v>
      </c>
      <c r="AJ22" s="47">
        <v>0</v>
      </c>
      <c r="AK22" s="46">
        <v>2</v>
      </c>
      <c r="AL22" s="48">
        <v>0</v>
      </c>
      <c r="AM22" s="45">
        <v>7</v>
      </c>
      <c r="AN22" s="47">
        <v>0</v>
      </c>
      <c r="AO22" s="46">
        <v>7</v>
      </c>
      <c r="AP22" s="47">
        <v>0</v>
      </c>
      <c r="AQ22" s="46">
        <v>3</v>
      </c>
      <c r="AR22" s="56">
        <v>0</v>
      </c>
      <c r="AS22" s="42"/>
    </row>
    <row r="23" spans="1:45" ht="12.75" customHeight="1">
      <c r="A23" s="61">
        <f t="shared" si="0"/>
        <v>14</v>
      </c>
      <c r="B23" s="62" t="s">
        <v>34</v>
      </c>
      <c r="C23" s="63" t="s">
        <v>49</v>
      </c>
      <c r="D23" s="64"/>
      <c r="E23" s="65"/>
      <c r="F23" s="66">
        <v>0</v>
      </c>
      <c r="G23" s="66"/>
      <c r="H23" s="67">
        <v>0</v>
      </c>
      <c r="I23" s="66"/>
      <c r="J23" s="68">
        <v>0</v>
      </c>
      <c r="K23" s="69"/>
      <c r="L23" s="67">
        <v>0</v>
      </c>
      <c r="M23" s="66">
        <v>1</v>
      </c>
      <c r="N23" s="68">
        <v>0</v>
      </c>
      <c r="O23" s="70">
        <v>1</v>
      </c>
      <c r="P23" s="68">
        <v>0</v>
      </c>
      <c r="Q23" s="70"/>
      <c r="R23" s="50"/>
      <c r="S23" s="66"/>
      <c r="T23" s="67">
        <v>0</v>
      </c>
      <c r="U23" s="66"/>
      <c r="V23" s="67">
        <v>0</v>
      </c>
      <c r="W23" s="66"/>
      <c r="X23" s="67"/>
      <c r="Y23" s="66"/>
      <c r="Z23" s="67"/>
      <c r="AA23" s="66"/>
      <c r="AB23" s="67"/>
      <c r="AC23" s="70"/>
      <c r="AD23" s="67">
        <v>0</v>
      </c>
      <c r="AE23" s="66"/>
      <c r="AF23" s="67">
        <v>0</v>
      </c>
      <c r="AG23" s="66"/>
      <c r="AH23" s="67">
        <v>0</v>
      </c>
      <c r="AI23" s="66"/>
      <c r="AJ23" s="67">
        <v>0</v>
      </c>
      <c r="AK23" s="66"/>
      <c r="AL23" s="68">
        <v>0</v>
      </c>
      <c r="AM23" s="65"/>
      <c r="AN23" s="67">
        <v>0</v>
      </c>
      <c r="AO23" s="66">
        <v>1</v>
      </c>
      <c r="AP23" s="67">
        <v>0</v>
      </c>
      <c r="AQ23" s="66"/>
      <c r="AR23" s="71">
        <v>0</v>
      </c>
      <c r="AS23" s="42"/>
    </row>
    <row r="24" spans="1:45" ht="12.75" customHeight="1">
      <c r="A24" s="72"/>
      <c r="B24" s="73"/>
      <c r="C24" s="28" t="s">
        <v>50</v>
      </c>
      <c r="D24" s="74"/>
      <c r="E24" s="30">
        <f>SUM(E25:E31)</f>
        <v>0</v>
      </c>
      <c r="F24" s="32">
        <f>E24*8/E$8</f>
        <v>0</v>
      </c>
      <c r="G24" s="32">
        <f>SUM(G25:G31)</f>
        <v>1</v>
      </c>
      <c r="H24" s="33">
        <v>1</v>
      </c>
      <c r="I24" s="32">
        <f>SUM(I25:I31)</f>
        <v>1</v>
      </c>
      <c r="J24" s="34">
        <v>1</v>
      </c>
      <c r="K24" s="35">
        <f>SUM(K25:K31)</f>
        <v>5</v>
      </c>
      <c r="L24" s="33">
        <v>1</v>
      </c>
      <c r="M24" s="32">
        <f>SUM(M25:M31)</f>
        <v>5</v>
      </c>
      <c r="N24" s="34">
        <v>2</v>
      </c>
      <c r="O24" s="36">
        <f>SUM(O25:O31)</f>
        <v>5</v>
      </c>
      <c r="P24" s="34">
        <v>1</v>
      </c>
      <c r="Q24" s="36">
        <f>SUM(Q25:Q31)</f>
        <v>5</v>
      </c>
      <c r="R24" s="75">
        <v>2</v>
      </c>
      <c r="S24" s="32">
        <f>SUM(S25:S31)</f>
        <v>2</v>
      </c>
      <c r="T24" s="33">
        <v>1</v>
      </c>
      <c r="U24" s="32">
        <f>SUM(U25:U31)</f>
        <v>1</v>
      </c>
      <c r="V24" s="33">
        <v>1</v>
      </c>
      <c r="W24" s="32">
        <f>SUM(W25:W31)</f>
        <v>1</v>
      </c>
      <c r="X24" s="33">
        <v>1</v>
      </c>
      <c r="Y24" s="32">
        <f>SUM(Y25:Y31)</f>
        <v>1</v>
      </c>
      <c r="Z24" s="33">
        <v>1</v>
      </c>
      <c r="AA24" s="32">
        <f>SUM(AA25:AA31)</f>
        <v>0</v>
      </c>
      <c r="AB24" s="76"/>
      <c r="AC24" s="36">
        <f>SUM(AC25:AC31)</f>
        <v>1</v>
      </c>
      <c r="AD24" s="33">
        <v>1</v>
      </c>
      <c r="AE24" s="32">
        <f>SUM(AE25:AE31)</f>
        <v>3</v>
      </c>
      <c r="AF24" s="33">
        <v>1</v>
      </c>
      <c r="AG24" s="32">
        <f>SUM(AG25:AG31)</f>
        <v>1</v>
      </c>
      <c r="AH24" s="33">
        <v>1</v>
      </c>
      <c r="AI24" s="32">
        <f>SUM(AI25:AI31)</f>
        <v>2</v>
      </c>
      <c r="AJ24" s="33">
        <v>1</v>
      </c>
      <c r="AK24" s="32">
        <f>SUM(AK25:AK31)</f>
        <v>1</v>
      </c>
      <c r="AL24" s="34">
        <v>1</v>
      </c>
      <c r="AM24" s="30">
        <f>SUM(AM25:AM31)</f>
        <v>4</v>
      </c>
      <c r="AN24" s="33">
        <v>1</v>
      </c>
      <c r="AO24" s="32">
        <f>SUM(AO25:AO31)</f>
        <v>6</v>
      </c>
      <c r="AP24" s="33">
        <v>1</v>
      </c>
      <c r="AQ24" s="32">
        <f>SUM(AQ25:AQ31)</f>
        <v>2</v>
      </c>
      <c r="AR24" s="77">
        <v>1</v>
      </c>
      <c r="AS24" s="1"/>
    </row>
    <row r="25" spans="1:45" ht="12.75" customHeight="1">
      <c r="A25" s="41">
        <f>A23+1</f>
        <v>15</v>
      </c>
      <c r="B25" s="42" t="s">
        <v>50</v>
      </c>
      <c r="C25" s="43" t="s">
        <v>51</v>
      </c>
      <c r="D25" s="44"/>
      <c r="E25" s="78"/>
      <c r="F25" s="79">
        <v>0</v>
      </c>
      <c r="G25" s="79"/>
      <c r="H25" s="80">
        <v>0</v>
      </c>
      <c r="I25" s="79"/>
      <c r="J25" s="81">
        <v>0</v>
      </c>
      <c r="K25" s="82">
        <v>1</v>
      </c>
      <c r="L25" s="80">
        <v>0</v>
      </c>
      <c r="M25" s="79">
        <v>1</v>
      </c>
      <c r="N25" s="81">
        <v>0</v>
      </c>
      <c r="O25" s="49">
        <v>1</v>
      </c>
      <c r="P25" s="81">
        <v>0</v>
      </c>
      <c r="Q25" s="83"/>
      <c r="R25" s="50"/>
      <c r="S25" s="78"/>
      <c r="T25" s="80">
        <v>0</v>
      </c>
      <c r="U25" s="79"/>
      <c r="V25" s="80">
        <v>0</v>
      </c>
      <c r="W25" s="79"/>
      <c r="X25" s="80"/>
      <c r="Y25" s="79"/>
      <c r="Z25" s="80"/>
      <c r="AA25" s="79"/>
      <c r="AB25" s="80"/>
      <c r="AC25" s="84"/>
      <c r="AD25" s="80">
        <v>0</v>
      </c>
      <c r="AE25" s="79"/>
      <c r="AF25" s="80">
        <v>0</v>
      </c>
      <c r="AG25" s="79"/>
      <c r="AH25" s="80">
        <v>0</v>
      </c>
      <c r="AI25" s="79"/>
      <c r="AJ25" s="80">
        <v>0</v>
      </c>
      <c r="AK25" s="79"/>
      <c r="AL25" s="81">
        <v>0</v>
      </c>
      <c r="AM25" s="51"/>
      <c r="AN25" s="80">
        <v>0</v>
      </c>
      <c r="AO25" s="51"/>
      <c r="AP25" s="80">
        <v>0</v>
      </c>
      <c r="AQ25" s="51"/>
      <c r="AR25" s="52">
        <v>0</v>
      </c>
      <c r="AS25" s="53"/>
    </row>
    <row r="26" spans="1:45" ht="12.75" customHeight="1">
      <c r="A26" s="85">
        <f t="shared" ref="A26:A31" si="1">A25+1</f>
        <v>16</v>
      </c>
      <c r="B26" s="86" t="s">
        <v>50</v>
      </c>
      <c r="C26" s="87" t="s">
        <v>52</v>
      </c>
      <c r="D26" s="44"/>
      <c r="E26" s="78"/>
      <c r="F26" s="79">
        <v>0</v>
      </c>
      <c r="G26" s="79"/>
      <c r="H26" s="80">
        <v>0</v>
      </c>
      <c r="I26" s="79"/>
      <c r="J26" s="81">
        <v>0</v>
      </c>
      <c r="K26" s="82">
        <v>1</v>
      </c>
      <c r="L26" s="80">
        <v>0</v>
      </c>
      <c r="M26" s="79">
        <v>1</v>
      </c>
      <c r="N26" s="81">
        <v>0</v>
      </c>
      <c r="O26" s="49">
        <v>1</v>
      </c>
      <c r="P26" s="81">
        <v>0</v>
      </c>
      <c r="Q26" s="83"/>
      <c r="R26" s="50"/>
      <c r="S26" s="78"/>
      <c r="T26" s="80">
        <v>0</v>
      </c>
      <c r="U26" s="79"/>
      <c r="V26" s="80">
        <v>0</v>
      </c>
      <c r="W26" s="79"/>
      <c r="X26" s="80"/>
      <c r="Y26" s="79"/>
      <c r="Z26" s="80"/>
      <c r="AA26" s="79"/>
      <c r="AB26" s="80"/>
      <c r="AC26" s="84"/>
      <c r="AD26" s="80">
        <v>0</v>
      </c>
      <c r="AE26" s="79"/>
      <c r="AF26" s="80">
        <v>0</v>
      </c>
      <c r="AG26" s="79"/>
      <c r="AH26" s="80">
        <v>0</v>
      </c>
      <c r="AI26" s="79"/>
      <c r="AJ26" s="80">
        <v>0</v>
      </c>
      <c r="AK26" s="79"/>
      <c r="AL26" s="81">
        <v>0</v>
      </c>
      <c r="AM26" s="78">
        <v>1</v>
      </c>
      <c r="AN26" s="80">
        <v>0</v>
      </c>
      <c r="AO26" s="79"/>
      <c r="AP26" s="80">
        <v>0</v>
      </c>
      <c r="AQ26" s="79"/>
      <c r="AR26" s="88">
        <v>0</v>
      </c>
      <c r="AS26" s="89"/>
    </row>
    <row r="27" spans="1:45" ht="12.75" customHeight="1">
      <c r="A27" s="85">
        <f t="shared" si="1"/>
        <v>17</v>
      </c>
      <c r="B27" s="86" t="s">
        <v>50</v>
      </c>
      <c r="C27" s="87" t="s">
        <v>53</v>
      </c>
      <c r="D27" s="44"/>
      <c r="E27" s="78"/>
      <c r="F27" s="79">
        <v>0</v>
      </c>
      <c r="G27" s="79"/>
      <c r="H27" s="80">
        <v>0</v>
      </c>
      <c r="I27" s="79"/>
      <c r="J27" s="81">
        <v>0</v>
      </c>
      <c r="K27" s="82">
        <v>1</v>
      </c>
      <c r="L27" s="80">
        <v>0</v>
      </c>
      <c r="M27" s="79">
        <v>1</v>
      </c>
      <c r="N27" s="81">
        <v>0</v>
      </c>
      <c r="O27" s="49"/>
      <c r="P27" s="81">
        <v>0</v>
      </c>
      <c r="Q27" s="83">
        <v>1</v>
      </c>
      <c r="R27" s="50"/>
      <c r="S27" s="78">
        <v>1</v>
      </c>
      <c r="T27" s="80">
        <v>0</v>
      </c>
      <c r="U27" s="79"/>
      <c r="V27" s="80">
        <v>0</v>
      </c>
      <c r="W27" s="79">
        <v>1</v>
      </c>
      <c r="X27" s="80"/>
      <c r="Y27" s="79">
        <v>1</v>
      </c>
      <c r="Z27" s="80"/>
      <c r="AA27" s="79"/>
      <c r="AB27" s="80"/>
      <c r="AC27" s="84"/>
      <c r="AD27" s="80">
        <v>0</v>
      </c>
      <c r="AE27" s="79"/>
      <c r="AF27" s="80">
        <v>0</v>
      </c>
      <c r="AG27" s="79"/>
      <c r="AH27" s="80">
        <v>0</v>
      </c>
      <c r="AI27" s="79"/>
      <c r="AJ27" s="80">
        <v>0</v>
      </c>
      <c r="AK27" s="79"/>
      <c r="AL27" s="81">
        <v>0</v>
      </c>
      <c r="AM27" s="78">
        <v>2</v>
      </c>
      <c r="AN27" s="80">
        <v>0</v>
      </c>
      <c r="AO27" s="79">
        <v>4</v>
      </c>
      <c r="AP27" s="80">
        <v>0</v>
      </c>
      <c r="AQ27" s="79">
        <v>2</v>
      </c>
      <c r="AR27" s="88">
        <v>0</v>
      </c>
      <c r="AS27" s="89"/>
    </row>
    <row r="28" spans="1:45" ht="12.75" customHeight="1">
      <c r="A28" s="85">
        <f t="shared" si="1"/>
        <v>18</v>
      </c>
      <c r="B28" s="86" t="s">
        <v>50</v>
      </c>
      <c r="C28" s="90" t="s">
        <v>54</v>
      </c>
      <c r="D28" s="44"/>
      <c r="E28" s="78"/>
      <c r="F28" s="79">
        <v>0</v>
      </c>
      <c r="G28" s="79"/>
      <c r="H28" s="80">
        <v>0</v>
      </c>
      <c r="I28" s="79">
        <v>1</v>
      </c>
      <c r="J28" s="81">
        <v>0</v>
      </c>
      <c r="K28" s="170">
        <v>1</v>
      </c>
      <c r="L28" s="80">
        <v>0</v>
      </c>
      <c r="M28" s="164">
        <v>1</v>
      </c>
      <c r="N28" s="81">
        <v>0</v>
      </c>
      <c r="O28" s="173">
        <v>1</v>
      </c>
      <c r="P28" s="81">
        <v>0</v>
      </c>
      <c r="Q28" s="83">
        <v>1</v>
      </c>
      <c r="R28" s="50"/>
      <c r="S28" s="78"/>
      <c r="T28" s="80">
        <v>0</v>
      </c>
      <c r="U28" s="79">
        <v>1</v>
      </c>
      <c r="V28" s="80">
        <v>0</v>
      </c>
      <c r="W28" s="79"/>
      <c r="X28" s="80"/>
      <c r="Y28" s="79"/>
      <c r="Z28" s="80"/>
      <c r="AA28" s="79"/>
      <c r="AB28" s="80"/>
      <c r="AC28" s="84"/>
      <c r="AD28" s="80">
        <v>0</v>
      </c>
      <c r="AE28" s="79">
        <v>1</v>
      </c>
      <c r="AF28" s="80">
        <v>0</v>
      </c>
      <c r="AG28" s="79"/>
      <c r="AH28" s="80">
        <v>0</v>
      </c>
      <c r="AI28" s="79">
        <v>1</v>
      </c>
      <c r="AJ28" s="80">
        <v>0</v>
      </c>
      <c r="AK28" s="79"/>
      <c r="AL28" s="81">
        <v>0</v>
      </c>
      <c r="AM28" s="78"/>
      <c r="AN28" s="80">
        <v>0</v>
      </c>
      <c r="AO28" s="79"/>
      <c r="AP28" s="80">
        <v>0</v>
      </c>
      <c r="AQ28" s="79"/>
      <c r="AR28" s="88">
        <v>0</v>
      </c>
      <c r="AS28" s="89"/>
    </row>
    <row r="29" spans="1:45" ht="15" customHeight="1">
      <c r="A29" s="85">
        <f t="shared" si="1"/>
        <v>19</v>
      </c>
      <c r="B29" s="86" t="s">
        <v>50</v>
      </c>
      <c r="C29" s="87" t="s">
        <v>55</v>
      </c>
      <c r="D29" s="44"/>
      <c r="E29" s="78"/>
      <c r="F29" s="79">
        <v>0</v>
      </c>
      <c r="G29" s="79">
        <v>1</v>
      </c>
      <c r="H29" s="80">
        <v>0</v>
      </c>
      <c r="I29" s="79"/>
      <c r="J29" s="81">
        <v>0</v>
      </c>
      <c r="K29" s="172"/>
      <c r="L29" s="80">
        <v>0</v>
      </c>
      <c r="M29" s="165"/>
      <c r="N29" s="81">
        <v>0</v>
      </c>
      <c r="O29" s="175"/>
      <c r="P29" s="81">
        <v>0</v>
      </c>
      <c r="Q29" s="83"/>
      <c r="R29" s="50"/>
      <c r="S29" s="78"/>
      <c r="T29" s="80">
        <v>0</v>
      </c>
      <c r="U29" s="79"/>
      <c r="V29" s="80">
        <v>0</v>
      </c>
      <c r="W29" s="79"/>
      <c r="X29" s="80"/>
      <c r="Y29" s="79"/>
      <c r="Z29" s="80"/>
      <c r="AA29" s="79"/>
      <c r="AB29" s="80"/>
      <c r="AC29" s="84">
        <v>1</v>
      </c>
      <c r="AD29" s="80">
        <v>0</v>
      </c>
      <c r="AE29" s="79">
        <v>1</v>
      </c>
      <c r="AF29" s="80">
        <v>0</v>
      </c>
      <c r="AG29" s="79">
        <v>1</v>
      </c>
      <c r="AH29" s="80">
        <v>0</v>
      </c>
      <c r="AI29" s="79">
        <v>1</v>
      </c>
      <c r="AJ29" s="80">
        <v>0</v>
      </c>
      <c r="AK29" s="79">
        <v>1</v>
      </c>
      <c r="AL29" s="81">
        <v>0</v>
      </c>
      <c r="AM29" s="78"/>
      <c r="AN29" s="80">
        <v>0</v>
      </c>
      <c r="AO29" s="79"/>
      <c r="AP29" s="80">
        <v>0</v>
      </c>
      <c r="AQ29" s="79"/>
      <c r="AR29" s="88">
        <v>0</v>
      </c>
      <c r="AS29" s="89"/>
    </row>
    <row r="30" spans="1:45" ht="12.75" customHeight="1">
      <c r="A30" s="85">
        <f t="shared" si="1"/>
        <v>20</v>
      </c>
      <c r="B30" s="86" t="s">
        <v>50</v>
      </c>
      <c r="C30" s="87" t="s">
        <v>56</v>
      </c>
      <c r="D30" s="44"/>
      <c r="E30" s="78"/>
      <c r="F30" s="79">
        <v>0</v>
      </c>
      <c r="G30" s="79"/>
      <c r="H30" s="80">
        <v>0</v>
      </c>
      <c r="I30" s="79"/>
      <c r="J30" s="81">
        <v>0</v>
      </c>
      <c r="K30" s="166">
        <v>1</v>
      </c>
      <c r="L30" s="80">
        <v>0</v>
      </c>
      <c r="M30" s="168">
        <v>1</v>
      </c>
      <c r="N30" s="81">
        <v>0</v>
      </c>
      <c r="O30" s="49">
        <v>1</v>
      </c>
      <c r="P30" s="81">
        <v>0</v>
      </c>
      <c r="Q30" s="83"/>
      <c r="R30" s="50"/>
      <c r="S30" s="78">
        <v>1</v>
      </c>
      <c r="T30" s="80">
        <v>0</v>
      </c>
      <c r="U30" s="79"/>
      <c r="V30" s="80">
        <v>0</v>
      </c>
      <c r="W30" s="79"/>
      <c r="X30" s="80"/>
      <c r="Y30" s="79"/>
      <c r="Z30" s="80"/>
      <c r="AA30" s="79"/>
      <c r="AB30" s="80"/>
      <c r="AC30" s="84"/>
      <c r="AD30" s="80">
        <v>0</v>
      </c>
      <c r="AE30" s="79">
        <v>1</v>
      </c>
      <c r="AF30" s="80">
        <v>0</v>
      </c>
      <c r="AG30" s="79"/>
      <c r="AH30" s="80">
        <v>0</v>
      </c>
      <c r="AI30" s="79"/>
      <c r="AJ30" s="80">
        <v>0</v>
      </c>
      <c r="AK30" s="79"/>
      <c r="AL30" s="81">
        <v>0</v>
      </c>
      <c r="AM30" s="78"/>
      <c r="AN30" s="80">
        <v>0</v>
      </c>
      <c r="AO30" s="79">
        <v>1</v>
      </c>
      <c r="AP30" s="80">
        <v>0</v>
      </c>
      <c r="AQ30" s="79"/>
      <c r="AR30" s="88">
        <v>0</v>
      </c>
      <c r="AS30" s="89"/>
    </row>
    <row r="31" spans="1:45" ht="12.75" customHeight="1">
      <c r="A31" s="61">
        <f t="shared" si="1"/>
        <v>21</v>
      </c>
      <c r="B31" s="62" t="s">
        <v>50</v>
      </c>
      <c r="C31" s="63" t="s">
        <v>57</v>
      </c>
      <c r="D31" s="64"/>
      <c r="E31" s="65"/>
      <c r="F31" s="66">
        <v>0</v>
      </c>
      <c r="G31" s="66"/>
      <c r="H31" s="67">
        <v>0</v>
      </c>
      <c r="I31" s="66"/>
      <c r="J31" s="68">
        <v>0</v>
      </c>
      <c r="K31" s="167"/>
      <c r="L31" s="67">
        <v>0</v>
      </c>
      <c r="M31" s="169"/>
      <c r="N31" s="68">
        <v>0</v>
      </c>
      <c r="O31" s="70">
        <v>1</v>
      </c>
      <c r="P31" s="68">
        <v>0</v>
      </c>
      <c r="Q31" s="70">
        <v>3</v>
      </c>
      <c r="R31" s="50"/>
      <c r="S31" s="66"/>
      <c r="T31" s="67">
        <v>0</v>
      </c>
      <c r="U31" s="66"/>
      <c r="V31" s="67">
        <v>0</v>
      </c>
      <c r="W31" s="66"/>
      <c r="X31" s="67"/>
      <c r="Y31" s="66"/>
      <c r="Z31" s="67"/>
      <c r="AA31" s="66"/>
      <c r="AB31" s="67"/>
      <c r="AC31" s="70"/>
      <c r="AD31" s="67">
        <v>0</v>
      </c>
      <c r="AE31" s="66"/>
      <c r="AF31" s="67">
        <v>0</v>
      </c>
      <c r="AG31" s="66"/>
      <c r="AH31" s="67">
        <v>0</v>
      </c>
      <c r="AI31" s="66"/>
      <c r="AJ31" s="67">
        <v>0</v>
      </c>
      <c r="AK31" s="66"/>
      <c r="AL31" s="68">
        <v>0</v>
      </c>
      <c r="AM31" s="65">
        <v>1</v>
      </c>
      <c r="AN31" s="67">
        <v>0</v>
      </c>
      <c r="AO31" s="66">
        <v>1</v>
      </c>
      <c r="AP31" s="67">
        <v>0</v>
      </c>
      <c r="AQ31" s="66"/>
      <c r="AR31" s="71">
        <v>0</v>
      </c>
      <c r="AS31" s="42"/>
    </row>
    <row r="32" spans="1:45" ht="12.75" customHeight="1">
      <c r="A32" s="93"/>
      <c r="B32" s="94"/>
      <c r="C32" s="28" t="s">
        <v>58</v>
      </c>
      <c r="D32" s="74"/>
      <c r="E32" s="30">
        <f>SUM(E33:E40)</f>
        <v>0</v>
      </c>
      <c r="F32" s="32">
        <f>E32*8/E$8</f>
        <v>0</v>
      </c>
      <c r="G32" s="32">
        <f>SUM(G33:G40)</f>
        <v>2</v>
      </c>
      <c r="H32" s="33">
        <v>0</v>
      </c>
      <c r="I32" s="32">
        <f>SUM(I33:I40)</f>
        <v>0</v>
      </c>
      <c r="J32" s="95">
        <f>I32*8/I$8</f>
        <v>0</v>
      </c>
      <c r="K32" s="35">
        <f>SUM(K33:K40)</f>
        <v>4</v>
      </c>
      <c r="L32" s="33">
        <v>1</v>
      </c>
      <c r="M32" s="32">
        <f>SUM(M33:M40)</f>
        <v>1</v>
      </c>
      <c r="N32" s="34">
        <v>0</v>
      </c>
      <c r="O32" s="36">
        <f>SUM(O33:O40)</f>
        <v>4</v>
      </c>
      <c r="P32" s="34">
        <v>1</v>
      </c>
      <c r="Q32" s="36">
        <f>SUM(Q33:Q40)</f>
        <v>2</v>
      </c>
      <c r="R32" s="36">
        <v>1</v>
      </c>
      <c r="S32" s="32">
        <f>SUM(S33:S40)</f>
        <v>2</v>
      </c>
      <c r="T32" s="33">
        <v>1</v>
      </c>
      <c r="U32" s="32">
        <f>SUM(U33:U40)</f>
        <v>0</v>
      </c>
      <c r="V32" s="76"/>
      <c r="W32" s="32">
        <f>SUM(W33:W40)</f>
        <v>0</v>
      </c>
      <c r="X32" s="76"/>
      <c r="Y32" s="32">
        <f>SUM(Y33:Y40)</f>
        <v>2</v>
      </c>
      <c r="Z32" s="33">
        <v>2</v>
      </c>
      <c r="AA32" s="32">
        <f>SUM(AA33:AA40)</f>
        <v>1</v>
      </c>
      <c r="AB32" s="33">
        <v>1</v>
      </c>
      <c r="AC32" s="36">
        <f>SUM(AC33:AC40)</f>
        <v>1</v>
      </c>
      <c r="AD32" s="33"/>
      <c r="AE32" s="32">
        <f>SUM(AE33:AE40)</f>
        <v>1</v>
      </c>
      <c r="AF32" s="76"/>
      <c r="AG32" s="32">
        <f>SUM(AG33:AG40)</f>
        <v>1</v>
      </c>
      <c r="AH32" s="76"/>
      <c r="AI32" s="32">
        <f>SUM(AI33:AI40)</f>
        <v>3</v>
      </c>
      <c r="AJ32" s="33"/>
      <c r="AK32" s="32">
        <f>SUM(AK33:AK40)</f>
        <v>1</v>
      </c>
      <c r="AL32" s="34"/>
      <c r="AM32" s="30">
        <f>SUM(AM33:AM40)</f>
        <v>2</v>
      </c>
      <c r="AN32" s="33"/>
      <c r="AO32" s="32">
        <f>SUM(AO33:AO40)</f>
        <v>1</v>
      </c>
      <c r="AP32" s="76"/>
      <c r="AQ32" s="32">
        <f>SUM(AQ33:AQ40)</f>
        <v>1</v>
      </c>
      <c r="AR32" s="96"/>
      <c r="AS32" s="97"/>
    </row>
    <row r="33" spans="1:45" ht="12.75" customHeight="1">
      <c r="A33" s="85">
        <f>A31+1</f>
        <v>22</v>
      </c>
      <c r="B33" s="86" t="s">
        <v>58</v>
      </c>
      <c r="C33" s="87" t="s">
        <v>59</v>
      </c>
      <c r="D33" s="44"/>
      <c r="E33" s="78"/>
      <c r="F33" s="79">
        <v>0</v>
      </c>
      <c r="G33" s="79">
        <v>1</v>
      </c>
      <c r="H33" s="80">
        <v>0</v>
      </c>
      <c r="I33" s="79"/>
      <c r="J33" s="81">
        <v>0</v>
      </c>
      <c r="K33" s="170">
        <v>1</v>
      </c>
      <c r="L33" s="80">
        <v>0</v>
      </c>
      <c r="M33" s="79"/>
      <c r="N33" s="81">
        <v>0</v>
      </c>
      <c r="O33" s="49">
        <v>1</v>
      </c>
      <c r="P33" s="81">
        <v>0</v>
      </c>
      <c r="Q33" s="84"/>
      <c r="R33" s="80">
        <v>0</v>
      </c>
      <c r="S33" s="79"/>
      <c r="T33" s="80">
        <v>0</v>
      </c>
      <c r="U33" s="79"/>
      <c r="V33" s="80">
        <v>0</v>
      </c>
      <c r="W33" s="79"/>
      <c r="X33" s="80"/>
      <c r="Y33" s="79"/>
      <c r="Z33" s="80"/>
      <c r="AA33" s="79"/>
      <c r="AB33" s="80"/>
      <c r="AC33" s="84"/>
      <c r="AD33" s="80">
        <v>0</v>
      </c>
      <c r="AE33" s="79"/>
      <c r="AF33" s="80">
        <v>0</v>
      </c>
      <c r="AG33" s="79">
        <v>1</v>
      </c>
      <c r="AH33" s="80">
        <v>0</v>
      </c>
      <c r="AI33" s="79"/>
      <c r="AJ33" s="80">
        <v>0</v>
      </c>
      <c r="AK33" s="79">
        <v>1</v>
      </c>
      <c r="AL33" s="81">
        <v>0</v>
      </c>
      <c r="AM33" s="78"/>
      <c r="AN33" s="80">
        <v>0</v>
      </c>
      <c r="AO33" s="79"/>
      <c r="AP33" s="80">
        <v>0</v>
      </c>
      <c r="AQ33" s="79"/>
      <c r="AR33" s="88">
        <v>0</v>
      </c>
      <c r="AS33" s="89"/>
    </row>
    <row r="34" spans="1:45" ht="15" customHeight="1">
      <c r="A34" s="85">
        <f t="shared" ref="A34:A40" si="2">A33+1</f>
        <v>23</v>
      </c>
      <c r="B34" s="86" t="s">
        <v>58</v>
      </c>
      <c r="C34" s="87" t="s">
        <v>60</v>
      </c>
      <c r="D34" s="44"/>
      <c r="E34" s="78"/>
      <c r="F34" s="79"/>
      <c r="G34" s="79"/>
      <c r="H34" s="80"/>
      <c r="I34" s="79"/>
      <c r="J34" s="81"/>
      <c r="K34" s="171"/>
      <c r="L34" s="80"/>
      <c r="M34" s="79"/>
      <c r="N34" s="81"/>
      <c r="O34" s="49"/>
      <c r="P34" s="81"/>
      <c r="Q34" s="84"/>
      <c r="R34" s="80"/>
      <c r="S34" s="79"/>
      <c r="T34" s="80"/>
      <c r="U34" s="79"/>
      <c r="V34" s="80"/>
      <c r="W34" s="79"/>
      <c r="X34" s="80"/>
      <c r="Y34" s="79"/>
      <c r="Z34" s="80"/>
      <c r="AA34" s="79"/>
      <c r="AB34" s="80"/>
      <c r="AC34" s="84"/>
      <c r="AD34" s="80"/>
      <c r="AE34" s="79"/>
      <c r="AF34" s="80"/>
      <c r="AG34" s="79"/>
      <c r="AH34" s="80"/>
      <c r="AI34" s="79"/>
      <c r="AJ34" s="80"/>
      <c r="AK34" s="79"/>
      <c r="AL34" s="81"/>
      <c r="AM34" s="78"/>
      <c r="AN34" s="80"/>
      <c r="AO34" s="79"/>
      <c r="AP34" s="80"/>
      <c r="AQ34" s="79"/>
      <c r="AR34" s="88"/>
      <c r="AS34" s="89"/>
    </row>
    <row r="35" spans="1:45" ht="15" customHeight="1">
      <c r="A35" s="85">
        <f t="shared" si="2"/>
        <v>24</v>
      </c>
      <c r="B35" s="86" t="s">
        <v>58</v>
      </c>
      <c r="C35" s="87" t="s">
        <v>61</v>
      </c>
      <c r="D35" s="44"/>
      <c r="E35" s="78"/>
      <c r="F35" s="79">
        <v>0</v>
      </c>
      <c r="G35" s="79"/>
      <c r="H35" s="80">
        <v>0</v>
      </c>
      <c r="I35" s="79"/>
      <c r="J35" s="81">
        <v>0</v>
      </c>
      <c r="K35" s="172"/>
      <c r="L35" s="80">
        <v>0</v>
      </c>
      <c r="M35" s="79"/>
      <c r="N35" s="81">
        <v>0</v>
      </c>
      <c r="O35" s="49"/>
      <c r="P35" s="81">
        <v>0</v>
      </c>
      <c r="Q35" s="84"/>
      <c r="R35" s="80">
        <v>0</v>
      </c>
      <c r="S35" s="79"/>
      <c r="T35" s="80">
        <v>0</v>
      </c>
      <c r="U35" s="79"/>
      <c r="V35" s="80">
        <v>0</v>
      </c>
      <c r="W35" s="79"/>
      <c r="X35" s="80"/>
      <c r="Y35" s="79"/>
      <c r="Z35" s="80"/>
      <c r="AA35" s="79"/>
      <c r="AB35" s="80"/>
      <c r="AC35" s="84"/>
      <c r="AD35" s="80">
        <v>0</v>
      </c>
      <c r="AE35" s="79"/>
      <c r="AF35" s="80">
        <v>0</v>
      </c>
      <c r="AG35" s="79"/>
      <c r="AH35" s="80">
        <v>0</v>
      </c>
      <c r="AI35" s="79"/>
      <c r="AJ35" s="80">
        <v>0</v>
      </c>
      <c r="AK35" s="79"/>
      <c r="AL35" s="81">
        <v>0</v>
      </c>
      <c r="AM35" s="78"/>
      <c r="AN35" s="80">
        <v>0</v>
      </c>
      <c r="AO35" s="79">
        <v>1</v>
      </c>
      <c r="AP35" s="80">
        <v>0</v>
      </c>
      <c r="AQ35" s="79"/>
      <c r="AR35" s="88">
        <v>0</v>
      </c>
      <c r="AS35" s="89"/>
    </row>
    <row r="36" spans="1:45" ht="12.75" customHeight="1">
      <c r="A36" s="85">
        <f t="shared" si="2"/>
        <v>25</v>
      </c>
      <c r="B36" s="86" t="s">
        <v>58</v>
      </c>
      <c r="C36" s="87" t="s">
        <v>62</v>
      </c>
      <c r="D36" s="44"/>
      <c r="E36" s="78"/>
      <c r="F36" s="79">
        <v>0</v>
      </c>
      <c r="G36" s="79"/>
      <c r="H36" s="80">
        <v>0</v>
      </c>
      <c r="I36" s="79"/>
      <c r="J36" s="81">
        <v>0</v>
      </c>
      <c r="K36" s="170">
        <v>1</v>
      </c>
      <c r="L36" s="80">
        <v>0</v>
      </c>
      <c r="M36" s="79"/>
      <c r="N36" s="81">
        <v>0</v>
      </c>
      <c r="O36" s="173">
        <v>1</v>
      </c>
      <c r="P36" s="81">
        <v>0</v>
      </c>
      <c r="Q36" s="84"/>
      <c r="R36" s="80">
        <v>0</v>
      </c>
      <c r="S36" s="79"/>
      <c r="T36" s="80">
        <v>0</v>
      </c>
      <c r="U36" s="79"/>
      <c r="V36" s="80">
        <v>0</v>
      </c>
      <c r="W36" s="79"/>
      <c r="X36" s="80"/>
      <c r="Y36" s="79"/>
      <c r="Z36" s="80"/>
      <c r="AA36" s="79"/>
      <c r="AB36" s="80"/>
      <c r="AC36" s="84"/>
      <c r="AD36" s="80">
        <v>0</v>
      </c>
      <c r="AE36" s="79"/>
      <c r="AF36" s="80">
        <v>0</v>
      </c>
      <c r="AG36" s="79"/>
      <c r="AH36" s="80">
        <v>0</v>
      </c>
      <c r="AI36" s="79"/>
      <c r="AJ36" s="80">
        <v>0</v>
      </c>
      <c r="AK36" s="79"/>
      <c r="AL36" s="81">
        <v>0</v>
      </c>
      <c r="AM36" s="78"/>
      <c r="AN36" s="80">
        <v>0</v>
      </c>
      <c r="AO36" s="79"/>
      <c r="AP36" s="80">
        <v>0</v>
      </c>
      <c r="AQ36" s="79"/>
      <c r="AR36" s="88">
        <v>0</v>
      </c>
      <c r="AS36" s="89"/>
    </row>
    <row r="37" spans="1:45" ht="15" customHeight="1">
      <c r="A37" s="85">
        <f t="shared" si="2"/>
        <v>26</v>
      </c>
      <c r="B37" s="86" t="s">
        <v>58</v>
      </c>
      <c r="C37" s="90" t="s">
        <v>63</v>
      </c>
      <c r="D37" s="44"/>
      <c r="E37" s="78"/>
      <c r="F37" s="79">
        <v>0</v>
      </c>
      <c r="G37" s="79"/>
      <c r="H37" s="80">
        <v>0</v>
      </c>
      <c r="I37" s="79"/>
      <c r="J37" s="81">
        <v>0</v>
      </c>
      <c r="K37" s="171"/>
      <c r="L37" s="80">
        <v>0</v>
      </c>
      <c r="M37" s="79"/>
      <c r="N37" s="81">
        <v>0</v>
      </c>
      <c r="O37" s="174"/>
      <c r="P37" s="81">
        <v>0</v>
      </c>
      <c r="Q37" s="84">
        <v>1</v>
      </c>
      <c r="R37" s="80">
        <v>0</v>
      </c>
      <c r="S37" s="79">
        <v>1</v>
      </c>
      <c r="T37" s="80">
        <v>0</v>
      </c>
      <c r="U37" s="79"/>
      <c r="V37" s="80">
        <v>0</v>
      </c>
      <c r="W37" s="79"/>
      <c r="X37" s="80"/>
      <c r="Y37" s="79"/>
      <c r="Z37" s="80"/>
      <c r="AA37" s="79">
        <v>1</v>
      </c>
      <c r="AB37" s="80"/>
      <c r="AC37" s="84"/>
      <c r="AD37" s="80">
        <v>0</v>
      </c>
      <c r="AE37" s="79"/>
      <c r="AF37" s="80">
        <v>0</v>
      </c>
      <c r="AG37" s="79"/>
      <c r="AH37" s="80">
        <v>0</v>
      </c>
      <c r="AI37" s="79"/>
      <c r="AJ37" s="80">
        <v>0</v>
      </c>
      <c r="AK37" s="79"/>
      <c r="AL37" s="81">
        <v>0</v>
      </c>
      <c r="AM37" s="78">
        <v>1</v>
      </c>
      <c r="AN37" s="80">
        <v>0</v>
      </c>
      <c r="AO37" s="79"/>
      <c r="AP37" s="80">
        <v>0</v>
      </c>
      <c r="AQ37" s="79"/>
      <c r="AR37" s="88">
        <v>0</v>
      </c>
      <c r="AS37" s="89"/>
    </row>
    <row r="38" spans="1:45" ht="15" customHeight="1">
      <c r="A38" s="85">
        <f t="shared" si="2"/>
        <v>27</v>
      </c>
      <c r="B38" s="86" t="s">
        <v>58</v>
      </c>
      <c r="C38" s="87" t="s">
        <v>64</v>
      </c>
      <c r="D38" s="44"/>
      <c r="E38" s="78"/>
      <c r="F38" s="79">
        <v>0</v>
      </c>
      <c r="G38" s="79">
        <v>1</v>
      </c>
      <c r="H38" s="80">
        <v>0</v>
      </c>
      <c r="I38" s="79"/>
      <c r="J38" s="81">
        <v>0</v>
      </c>
      <c r="K38" s="172"/>
      <c r="L38" s="80">
        <v>0</v>
      </c>
      <c r="M38" s="79"/>
      <c r="N38" s="81">
        <v>0</v>
      </c>
      <c r="O38" s="175"/>
      <c r="P38" s="81">
        <v>0</v>
      </c>
      <c r="Q38" s="84"/>
      <c r="R38" s="80">
        <v>0</v>
      </c>
      <c r="S38" s="79"/>
      <c r="T38" s="80">
        <v>0</v>
      </c>
      <c r="U38" s="79"/>
      <c r="V38" s="80">
        <v>0</v>
      </c>
      <c r="W38" s="79"/>
      <c r="X38" s="80"/>
      <c r="Y38" s="79">
        <v>2</v>
      </c>
      <c r="Z38" s="80"/>
      <c r="AA38" s="79"/>
      <c r="AB38" s="80"/>
      <c r="AC38" s="84"/>
      <c r="AD38" s="80">
        <v>0</v>
      </c>
      <c r="AE38" s="79"/>
      <c r="AF38" s="80">
        <v>0</v>
      </c>
      <c r="AG38" s="79"/>
      <c r="AH38" s="80">
        <v>0</v>
      </c>
      <c r="AI38" s="79">
        <v>1</v>
      </c>
      <c r="AJ38" s="80">
        <v>0</v>
      </c>
      <c r="AK38" s="79"/>
      <c r="AL38" s="81">
        <v>0</v>
      </c>
      <c r="AM38" s="78"/>
      <c r="AN38" s="80">
        <v>0</v>
      </c>
      <c r="AO38" s="79"/>
      <c r="AP38" s="80">
        <v>0</v>
      </c>
      <c r="AQ38" s="79">
        <v>1</v>
      </c>
      <c r="AR38" s="88">
        <v>0</v>
      </c>
      <c r="AS38" s="89"/>
    </row>
    <row r="39" spans="1:45" ht="12.75" customHeight="1">
      <c r="A39" s="85">
        <f t="shared" si="2"/>
        <v>28</v>
      </c>
      <c r="B39" s="86" t="s">
        <v>58</v>
      </c>
      <c r="C39" s="87" t="s">
        <v>65</v>
      </c>
      <c r="D39" s="44"/>
      <c r="E39" s="78"/>
      <c r="F39" s="79">
        <v>0</v>
      </c>
      <c r="G39" s="79"/>
      <c r="H39" s="80">
        <v>0</v>
      </c>
      <c r="I39" s="79"/>
      <c r="J39" s="81">
        <v>0</v>
      </c>
      <c r="K39" s="82">
        <v>1</v>
      </c>
      <c r="L39" s="80">
        <v>0</v>
      </c>
      <c r="M39" s="79"/>
      <c r="N39" s="81">
        <v>0</v>
      </c>
      <c r="O39" s="49">
        <v>1</v>
      </c>
      <c r="P39" s="81">
        <v>0</v>
      </c>
      <c r="Q39" s="84"/>
      <c r="R39" s="80">
        <v>0</v>
      </c>
      <c r="S39" s="79"/>
      <c r="T39" s="80">
        <v>0</v>
      </c>
      <c r="U39" s="79"/>
      <c r="V39" s="80">
        <v>0</v>
      </c>
      <c r="W39" s="79"/>
      <c r="X39" s="80"/>
      <c r="Y39" s="79"/>
      <c r="Z39" s="80"/>
      <c r="AA39" s="79"/>
      <c r="AB39" s="80"/>
      <c r="AC39" s="84"/>
      <c r="AD39" s="80">
        <v>0</v>
      </c>
      <c r="AE39" s="79">
        <v>1</v>
      </c>
      <c r="AF39" s="80">
        <v>0</v>
      </c>
      <c r="AG39" s="79"/>
      <c r="AH39" s="80">
        <v>0</v>
      </c>
      <c r="AI39" s="79">
        <v>1</v>
      </c>
      <c r="AJ39" s="80">
        <v>0</v>
      </c>
      <c r="AK39" s="79"/>
      <c r="AL39" s="81">
        <v>0</v>
      </c>
      <c r="AM39" s="78"/>
      <c r="AN39" s="80">
        <v>0</v>
      </c>
      <c r="AO39" s="79"/>
      <c r="AP39" s="80">
        <v>0</v>
      </c>
      <c r="AQ39" s="79"/>
      <c r="AR39" s="88">
        <v>0</v>
      </c>
      <c r="AS39" s="89"/>
    </row>
    <row r="40" spans="1:45" ht="12.75" customHeight="1">
      <c r="A40" s="61">
        <f t="shared" si="2"/>
        <v>29</v>
      </c>
      <c r="B40" s="62" t="s">
        <v>58</v>
      </c>
      <c r="C40" s="63" t="s">
        <v>66</v>
      </c>
      <c r="D40" s="64"/>
      <c r="E40" s="65"/>
      <c r="F40" s="66">
        <v>0</v>
      </c>
      <c r="G40" s="66"/>
      <c r="H40" s="67">
        <v>0</v>
      </c>
      <c r="I40" s="66"/>
      <c r="J40" s="68">
        <v>0</v>
      </c>
      <c r="K40" s="69">
        <v>1</v>
      </c>
      <c r="L40" s="67">
        <v>0</v>
      </c>
      <c r="M40" s="66">
        <v>1</v>
      </c>
      <c r="N40" s="68">
        <v>0</v>
      </c>
      <c r="O40" s="70">
        <v>1</v>
      </c>
      <c r="P40" s="68">
        <v>0</v>
      </c>
      <c r="Q40" s="70">
        <v>1</v>
      </c>
      <c r="R40" s="67">
        <v>0</v>
      </c>
      <c r="S40" s="66">
        <v>1</v>
      </c>
      <c r="T40" s="67">
        <v>0</v>
      </c>
      <c r="U40" s="66"/>
      <c r="V40" s="67">
        <v>0</v>
      </c>
      <c r="W40" s="66"/>
      <c r="X40" s="67"/>
      <c r="Y40" s="66"/>
      <c r="Z40" s="67"/>
      <c r="AA40" s="66"/>
      <c r="AB40" s="67"/>
      <c r="AC40" s="70">
        <v>1</v>
      </c>
      <c r="AD40" s="67">
        <v>0</v>
      </c>
      <c r="AE40" s="66"/>
      <c r="AF40" s="67">
        <v>0</v>
      </c>
      <c r="AG40" s="66"/>
      <c r="AH40" s="67">
        <v>0</v>
      </c>
      <c r="AI40" s="66">
        <v>1</v>
      </c>
      <c r="AJ40" s="67">
        <v>0</v>
      </c>
      <c r="AK40" s="66"/>
      <c r="AL40" s="68">
        <v>0</v>
      </c>
      <c r="AM40" s="65">
        <v>1</v>
      </c>
      <c r="AN40" s="67">
        <v>0</v>
      </c>
      <c r="AO40" s="66"/>
      <c r="AP40" s="67">
        <v>0</v>
      </c>
      <c r="AQ40" s="66"/>
      <c r="AR40" s="71">
        <v>0</v>
      </c>
      <c r="AS40" s="42"/>
    </row>
    <row r="41" spans="1:45" ht="12.75" customHeight="1">
      <c r="A41" s="93"/>
      <c r="B41" s="94"/>
      <c r="C41" s="28" t="s">
        <v>67</v>
      </c>
      <c r="D41" s="74"/>
      <c r="E41" s="30">
        <f>SUM(E42:E49)</f>
        <v>2</v>
      </c>
      <c r="F41" s="31">
        <v>2</v>
      </c>
      <c r="G41" s="32">
        <f>SUM(G42:G49)</f>
        <v>5</v>
      </c>
      <c r="H41" s="33">
        <v>2</v>
      </c>
      <c r="I41" s="32">
        <f>SUM(I42:I49)</f>
        <v>0</v>
      </c>
      <c r="J41" s="95">
        <f>I41*8/I$8</f>
        <v>0</v>
      </c>
      <c r="K41" s="35">
        <f>SUM(K42:K49)</f>
        <v>2</v>
      </c>
      <c r="L41" s="33"/>
      <c r="M41" s="32">
        <f>SUM(M42:M49)</f>
        <v>3</v>
      </c>
      <c r="N41" s="34">
        <v>1</v>
      </c>
      <c r="O41" s="36">
        <f>SUM(O42:O49)</f>
        <v>3</v>
      </c>
      <c r="P41" s="34">
        <v>1</v>
      </c>
      <c r="Q41" s="36">
        <f>SUM(Q42:Q49)</f>
        <v>2</v>
      </c>
      <c r="R41" s="33">
        <v>1</v>
      </c>
      <c r="S41" s="32">
        <f>SUM(S42:S49)</f>
        <v>1</v>
      </c>
      <c r="T41" s="161">
        <v>2</v>
      </c>
      <c r="U41" s="32">
        <f>SUM(U42:U49)</f>
        <v>2</v>
      </c>
      <c r="V41" s="33">
        <v>2</v>
      </c>
      <c r="W41" s="32">
        <f>SUM(W42:W49)</f>
        <v>0</v>
      </c>
      <c r="X41" s="76"/>
      <c r="Y41" s="32">
        <f>SUM(Y42:Y49)</f>
        <v>0</v>
      </c>
      <c r="Z41" s="76"/>
      <c r="AA41" s="32">
        <f>SUM(AA42:AA49)</f>
        <v>0</v>
      </c>
      <c r="AB41" s="76"/>
      <c r="AC41" s="36">
        <f>SUM(AC42:AC49)</f>
        <v>0</v>
      </c>
      <c r="AD41" s="76"/>
      <c r="AE41" s="32">
        <f>SUM(AE42:AE49)</f>
        <v>1</v>
      </c>
      <c r="AF41" s="76"/>
      <c r="AG41" s="32">
        <f>SUM(AG42:AG49)</f>
        <v>0</v>
      </c>
      <c r="AH41" s="76"/>
      <c r="AI41" s="32">
        <f>SUM(AI42:AI49)</f>
        <v>2</v>
      </c>
      <c r="AJ41" s="33"/>
      <c r="AK41" s="32">
        <f>SUM(AK42:AK49)</f>
        <v>1</v>
      </c>
      <c r="AL41" s="34">
        <v>1</v>
      </c>
      <c r="AM41" s="30">
        <f>SUM(AM42:AM49)</f>
        <v>3</v>
      </c>
      <c r="AN41" s="33"/>
      <c r="AO41" s="32">
        <f>SUM(AO42:AO49)</f>
        <v>2</v>
      </c>
      <c r="AP41" s="76"/>
      <c r="AQ41" s="32">
        <f>SUM(AQ42:AQ49)</f>
        <v>0</v>
      </c>
      <c r="AR41" s="96">
        <f>AQ41*8/AQ$8</f>
        <v>0</v>
      </c>
      <c r="AS41" s="97"/>
    </row>
    <row r="42" spans="1:45" ht="12.75" customHeight="1">
      <c r="A42" s="85">
        <f>A40+1</f>
        <v>30</v>
      </c>
      <c r="B42" s="86" t="s">
        <v>67</v>
      </c>
      <c r="C42" s="87" t="s">
        <v>68</v>
      </c>
      <c r="D42" s="44"/>
      <c r="E42" s="78">
        <v>1</v>
      </c>
      <c r="F42" s="79">
        <v>0</v>
      </c>
      <c r="G42" s="79">
        <v>2</v>
      </c>
      <c r="H42" s="80">
        <v>0</v>
      </c>
      <c r="I42" s="79"/>
      <c r="J42" s="81">
        <v>0</v>
      </c>
      <c r="K42" s="82"/>
      <c r="L42" s="80">
        <v>0</v>
      </c>
      <c r="M42" s="79"/>
      <c r="N42" s="81">
        <v>0</v>
      </c>
      <c r="O42" s="49"/>
      <c r="P42" s="81">
        <v>0</v>
      </c>
      <c r="Q42" s="84"/>
      <c r="R42" s="80">
        <v>0</v>
      </c>
      <c r="S42" s="79"/>
      <c r="T42" s="162"/>
      <c r="U42" s="79">
        <v>1</v>
      </c>
      <c r="V42" s="80">
        <v>0</v>
      </c>
      <c r="W42" s="79"/>
      <c r="X42" s="80"/>
      <c r="Y42" s="79"/>
      <c r="Z42" s="80"/>
      <c r="AA42" s="79"/>
      <c r="AB42" s="80"/>
      <c r="AC42" s="84"/>
      <c r="AD42" s="80">
        <v>0</v>
      </c>
      <c r="AE42" s="79"/>
      <c r="AF42" s="80">
        <v>0</v>
      </c>
      <c r="AG42" s="79"/>
      <c r="AH42" s="80">
        <v>0</v>
      </c>
      <c r="AI42" s="79"/>
      <c r="AJ42" s="80">
        <v>0</v>
      </c>
      <c r="AK42" s="79"/>
      <c r="AL42" s="81">
        <v>0</v>
      </c>
      <c r="AM42" s="78">
        <v>1</v>
      </c>
      <c r="AN42" s="80">
        <v>0</v>
      </c>
      <c r="AO42" s="79"/>
      <c r="AP42" s="80">
        <v>0</v>
      </c>
      <c r="AQ42" s="79"/>
      <c r="AR42" s="88">
        <v>0</v>
      </c>
      <c r="AS42" s="89"/>
    </row>
    <row r="43" spans="1:45" ht="12.75" customHeight="1">
      <c r="A43" s="85">
        <f t="shared" ref="A43:A49" si="3">A42+1</f>
        <v>31</v>
      </c>
      <c r="B43" s="86" t="s">
        <v>67</v>
      </c>
      <c r="C43" s="87" t="s">
        <v>69</v>
      </c>
      <c r="D43" s="44"/>
      <c r="E43" s="78"/>
      <c r="F43" s="79">
        <v>0</v>
      </c>
      <c r="G43" s="79">
        <v>1</v>
      </c>
      <c r="H43" s="80">
        <v>0</v>
      </c>
      <c r="I43" s="79"/>
      <c r="J43" s="81">
        <v>0</v>
      </c>
      <c r="K43" s="82">
        <v>1</v>
      </c>
      <c r="L43" s="80">
        <v>0</v>
      </c>
      <c r="M43" s="79">
        <v>1</v>
      </c>
      <c r="N43" s="81">
        <v>0</v>
      </c>
      <c r="O43" s="49">
        <v>1</v>
      </c>
      <c r="P43" s="81">
        <v>0</v>
      </c>
      <c r="Q43" s="84"/>
      <c r="R43" s="80">
        <v>0</v>
      </c>
      <c r="S43" s="79">
        <v>1</v>
      </c>
      <c r="T43" s="162"/>
      <c r="U43" s="79"/>
      <c r="V43" s="80">
        <v>0</v>
      </c>
      <c r="W43" s="79"/>
      <c r="X43" s="80"/>
      <c r="Y43" s="79"/>
      <c r="Z43" s="80"/>
      <c r="AA43" s="79"/>
      <c r="AB43" s="80"/>
      <c r="AC43" s="84"/>
      <c r="AD43" s="80">
        <v>0</v>
      </c>
      <c r="AE43" s="79">
        <v>1</v>
      </c>
      <c r="AF43" s="80">
        <v>0</v>
      </c>
      <c r="AG43" s="79"/>
      <c r="AH43" s="80">
        <v>0</v>
      </c>
      <c r="AI43" s="79">
        <v>1</v>
      </c>
      <c r="AJ43" s="80">
        <v>0</v>
      </c>
      <c r="AK43" s="79">
        <v>1</v>
      </c>
      <c r="AL43" s="81">
        <v>0</v>
      </c>
      <c r="AM43" s="78">
        <v>1</v>
      </c>
      <c r="AN43" s="80">
        <v>0</v>
      </c>
      <c r="AO43" s="79"/>
      <c r="AP43" s="80">
        <v>0</v>
      </c>
      <c r="AQ43" s="79"/>
      <c r="AR43" s="88">
        <v>0</v>
      </c>
      <c r="AS43" s="89"/>
    </row>
    <row r="44" spans="1:45" ht="12.75" customHeight="1">
      <c r="A44" s="85">
        <f t="shared" si="3"/>
        <v>32</v>
      </c>
      <c r="B44" s="86" t="s">
        <v>67</v>
      </c>
      <c r="C44" s="98" t="s">
        <v>70</v>
      </c>
      <c r="D44" s="44"/>
      <c r="E44" s="78"/>
      <c r="F44" s="79"/>
      <c r="G44" s="79"/>
      <c r="H44" s="80"/>
      <c r="I44" s="79"/>
      <c r="J44" s="81"/>
      <c r="K44" s="82"/>
      <c r="L44" s="80"/>
      <c r="M44" s="164">
        <v>1</v>
      </c>
      <c r="N44" s="81"/>
      <c r="O44" s="49"/>
      <c r="P44" s="81"/>
      <c r="Q44" s="84"/>
      <c r="R44" s="80"/>
      <c r="S44" s="79"/>
      <c r="T44" s="162"/>
      <c r="U44" s="79"/>
      <c r="V44" s="80"/>
      <c r="W44" s="79"/>
      <c r="X44" s="80"/>
      <c r="Y44" s="79"/>
      <c r="Z44" s="80"/>
      <c r="AA44" s="79"/>
      <c r="AB44" s="80"/>
      <c r="AC44" s="84"/>
      <c r="AD44" s="80"/>
      <c r="AE44" s="79"/>
      <c r="AF44" s="80"/>
      <c r="AG44" s="79"/>
      <c r="AH44" s="80"/>
      <c r="AI44" s="79"/>
      <c r="AJ44" s="80"/>
      <c r="AK44" s="79"/>
      <c r="AL44" s="81"/>
      <c r="AM44" s="78"/>
      <c r="AN44" s="80"/>
      <c r="AO44" s="79"/>
      <c r="AP44" s="80"/>
      <c r="AQ44" s="79"/>
      <c r="AR44" s="88"/>
      <c r="AS44" s="89"/>
    </row>
    <row r="45" spans="1:45" ht="15" customHeight="1">
      <c r="A45" s="85">
        <f t="shared" si="3"/>
        <v>33</v>
      </c>
      <c r="B45" s="86" t="s">
        <v>67</v>
      </c>
      <c r="C45" s="87" t="s">
        <v>71</v>
      </c>
      <c r="D45" s="44"/>
      <c r="E45" s="78"/>
      <c r="F45" s="79">
        <v>0</v>
      </c>
      <c r="G45" s="79"/>
      <c r="H45" s="80">
        <v>0</v>
      </c>
      <c r="I45" s="79"/>
      <c r="J45" s="81">
        <v>0</v>
      </c>
      <c r="K45" s="82"/>
      <c r="L45" s="80">
        <v>0</v>
      </c>
      <c r="M45" s="165"/>
      <c r="N45" s="81">
        <v>0</v>
      </c>
      <c r="O45" s="49">
        <v>1</v>
      </c>
      <c r="P45" s="81">
        <v>0</v>
      </c>
      <c r="Q45" s="84"/>
      <c r="R45" s="80">
        <v>0</v>
      </c>
      <c r="S45" s="79"/>
      <c r="T45" s="162"/>
      <c r="U45" s="79"/>
      <c r="V45" s="80">
        <v>0</v>
      </c>
      <c r="W45" s="79"/>
      <c r="X45" s="80"/>
      <c r="Y45" s="79"/>
      <c r="Z45" s="80"/>
      <c r="AA45" s="79"/>
      <c r="AB45" s="80"/>
      <c r="AC45" s="84"/>
      <c r="AD45" s="80">
        <v>0</v>
      </c>
      <c r="AE45" s="79"/>
      <c r="AF45" s="80">
        <v>0</v>
      </c>
      <c r="AG45" s="79"/>
      <c r="AH45" s="80">
        <v>0</v>
      </c>
      <c r="AI45" s="79"/>
      <c r="AJ45" s="80">
        <v>0</v>
      </c>
      <c r="AK45" s="79"/>
      <c r="AL45" s="81">
        <v>0</v>
      </c>
      <c r="AM45" s="78"/>
      <c r="AN45" s="80">
        <v>0</v>
      </c>
      <c r="AO45" s="79">
        <v>1</v>
      </c>
      <c r="AP45" s="80">
        <v>0</v>
      </c>
      <c r="AQ45" s="79"/>
      <c r="AR45" s="88">
        <v>0</v>
      </c>
      <c r="AS45" s="89"/>
    </row>
    <row r="46" spans="1:45" ht="12.75" customHeight="1">
      <c r="A46" s="85">
        <f t="shared" si="3"/>
        <v>34</v>
      </c>
      <c r="B46" s="86" t="s">
        <v>67</v>
      </c>
      <c r="C46" s="87" t="s">
        <v>72</v>
      </c>
      <c r="D46" s="44"/>
      <c r="E46" s="78"/>
      <c r="F46" s="79">
        <v>0</v>
      </c>
      <c r="G46" s="79"/>
      <c r="H46" s="80">
        <v>0</v>
      </c>
      <c r="I46" s="79"/>
      <c r="J46" s="81">
        <v>0</v>
      </c>
      <c r="K46" s="82"/>
      <c r="L46" s="80">
        <v>0</v>
      </c>
      <c r="M46" s="79"/>
      <c r="N46" s="81">
        <v>0</v>
      </c>
      <c r="O46" s="49"/>
      <c r="P46" s="81">
        <v>0</v>
      </c>
      <c r="Q46" s="84"/>
      <c r="R46" s="80">
        <v>0</v>
      </c>
      <c r="S46" s="79"/>
      <c r="T46" s="162"/>
      <c r="U46" s="79"/>
      <c r="V46" s="80">
        <v>0</v>
      </c>
      <c r="W46" s="79"/>
      <c r="X46" s="80"/>
      <c r="Y46" s="79"/>
      <c r="Z46" s="80"/>
      <c r="AA46" s="79"/>
      <c r="AB46" s="80"/>
      <c r="AC46" s="84"/>
      <c r="AD46" s="80">
        <v>0</v>
      </c>
      <c r="AE46" s="79"/>
      <c r="AF46" s="80">
        <v>0</v>
      </c>
      <c r="AG46" s="79"/>
      <c r="AH46" s="80">
        <v>0</v>
      </c>
      <c r="AI46" s="79"/>
      <c r="AJ46" s="80">
        <v>0</v>
      </c>
      <c r="AK46" s="79"/>
      <c r="AL46" s="81">
        <v>0</v>
      </c>
      <c r="AM46" s="78"/>
      <c r="AN46" s="80">
        <v>0</v>
      </c>
      <c r="AO46" s="79">
        <v>1</v>
      </c>
      <c r="AP46" s="80">
        <v>0</v>
      </c>
      <c r="AQ46" s="79"/>
      <c r="AR46" s="88">
        <v>0</v>
      </c>
      <c r="AS46" s="89"/>
    </row>
    <row r="47" spans="1:45" ht="12.75" customHeight="1">
      <c r="A47" s="85">
        <f t="shared" si="3"/>
        <v>35</v>
      </c>
      <c r="B47" s="42" t="s">
        <v>67</v>
      </c>
      <c r="C47" s="43" t="s">
        <v>73</v>
      </c>
      <c r="D47" s="44"/>
      <c r="E47" s="78">
        <v>1</v>
      </c>
      <c r="F47" s="79">
        <v>0</v>
      </c>
      <c r="G47" s="79">
        <v>2</v>
      </c>
      <c r="H47" s="80">
        <v>0</v>
      </c>
      <c r="I47" s="79"/>
      <c r="J47" s="81">
        <v>0</v>
      </c>
      <c r="K47" s="170">
        <v>1</v>
      </c>
      <c r="L47" s="80">
        <v>0</v>
      </c>
      <c r="M47" s="79">
        <v>1</v>
      </c>
      <c r="N47" s="81">
        <v>0</v>
      </c>
      <c r="O47" s="49">
        <v>1</v>
      </c>
      <c r="P47" s="81">
        <v>0</v>
      </c>
      <c r="Q47" s="84">
        <v>1</v>
      </c>
      <c r="R47" s="80">
        <v>0</v>
      </c>
      <c r="S47" s="79"/>
      <c r="T47" s="162"/>
      <c r="U47" s="79"/>
      <c r="V47" s="80">
        <v>0</v>
      </c>
      <c r="W47" s="79"/>
      <c r="X47" s="80"/>
      <c r="Y47" s="79"/>
      <c r="Z47" s="80"/>
      <c r="AA47" s="79"/>
      <c r="AB47" s="80"/>
      <c r="AC47" s="84"/>
      <c r="AD47" s="80">
        <v>0</v>
      </c>
      <c r="AE47" s="79"/>
      <c r="AF47" s="80">
        <v>0</v>
      </c>
      <c r="AG47" s="79"/>
      <c r="AH47" s="80">
        <v>0</v>
      </c>
      <c r="AI47" s="79">
        <v>1</v>
      </c>
      <c r="AJ47" s="80">
        <v>0</v>
      </c>
      <c r="AK47" s="79"/>
      <c r="AL47" s="81">
        <v>0</v>
      </c>
      <c r="AM47" s="51"/>
      <c r="AN47" s="80">
        <v>0</v>
      </c>
      <c r="AO47" s="51"/>
      <c r="AP47" s="80">
        <v>0</v>
      </c>
      <c r="AQ47" s="51"/>
      <c r="AR47" s="52">
        <v>0</v>
      </c>
      <c r="AS47" s="53"/>
    </row>
    <row r="48" spans="1:45" ht="15" customHeight="1">
      <c r="A48" s="85">
        <f t="shared" si="3"/>
        <v>36</v>
      </c>
      <c r="B48" s="86" t="s">
        <v>67</v>
      </c>
      <c r="C48" s="87" t="s">
        <v>74</v>
      </c>
      <c r="D48" s="44"/>
      <c r="E48" s="78"/>
      <c r="F48" s="79">
        <v>0</v>
      </c>
      <c r="G48" s="79"/>
      <c r="H48" s="80">
        <v>0</v>
      </c>
      <c r="I48" s="79"/>
      <c r="J48" s="81">
        <v>0</v>
      </c>
      <c r="K48" s="172"/>
      <c r="L48" s="80">
        <v>0</v>
      </c>
      <c r="M48" s="79"/>
      <c r="N48" s="81">
        <v>0</v>
      </c>
      <c r="O48" s="49"/>
      <c r="P48" s="81">
        <v>0</v>
      </c>
      <c r="Q48" s="84">
        <v>1</v>
      </c>
      <c r="R48" s="80">
        <v>0</v>
      </c>
      <c r="S48" s="79"/>
      <c r="T48" s="162"/>
      <c r="U48" s="79">
        <v>1</v>
      </c>
      <c r="V48" s="80">
        <v>0</v>
      </c>
      <c r="W48" s="79"/>
      <c r="X48" s="80"/>
      <c r="Y48" s="79"/>
      <c r="Z48" s="80"/>
      <c r="AA48" s="79"/>
      <c r="AB48" s="80"/>
      <c r="AC48" s="84"/>
      <c r="AD48" s="80">
        <v>0</v>
      </c>
      <c r="AE48" s="79"/>
      <c r="AF48" s="80">
        <v>0</v>
      </c>
      <c r="AG48" s="79"/>
      <c r="AH48" s="80">
        <v>0</v>
      </c>
      <c r="AI48" s="79"/>
      <c r="AJ48" s="80">
        <v>0</v>
      </c>
      <c r="AK48" s="79"/>
      <c r="AL48" s="81">
        <v>0</v>
      </c>
      <c r="AM48" s="78"/>
      <c r="AN48" s="80">
        <v>0</v>
      </c>
      <c r="AO48" s="79"/>
      <c r="AP48" s="80">
        <v>0</v>
      </c>
      <c r="AQ48" s="79"/>
      <c r="AR48" s="88">
        <v>0</v>
      </c>
      <c r="AS48" s="89"/>
    </row>
    <row r="49" spans="1:45" ht="12.75" customHeight="1">
      <c r="A49" s="61">
        <f t="shared" si="3"/>
        <v>37</v>
      </c>
      <c r="B49" s="62" t="s">
        <v>67</v>
      </c>
      <c r="C49" s="63" t="s">
        <v>75</v>
      </c>
      <c r="D49" s="64"/>
      <c r="E49" s="65"/>
      <c r="F49" s="66">
        <v>0</v>
      </c>
      <c r="G49" s="66"/>
      <c r="H49" s="67">
        <v>0</v>
      </c>
      <c r="I49" s="66"/>
      <c r="J49" s="68">
        <v>0</v>
      </c>
      <c r="K49" s="69"/>
      <c r="L49" s="67">
        <v>0</v>
      </c>
      <c r="M49" s="66"/>
      <c r="N49" s="68">
        <v>0</v>
      </c>
      <c r="O49" s="70"/>
      <c r="P49" s="68">
        <v>0</v>
      </c>
      <c r="Q49" s="70"/>
      <c r="R49" s="67">
        <v>0</v>
      </c>
      <c r="S49" s="66"/>
      <c r="T49" s="162"/>
      <c r="U49" s="66"/>
      <c r="V49" s="67">
        <v>0</v>
      </c>
      <c r="W49" s="66"/>
      <c r="X49" s="67"/>
      <c r="Y49" s="66"/>
      <c r="Z49" s="67"/>
      <c r="AA49" s="66"/>
      <c r="AB49" s="67"/>
      <c r="AC49" s="70"/>
      <c r="AD49" s="67">
        <v>0</v>
      </c>
      <c r="AE49" s="66"/>
      <c r="AF49" s="67">
        <v>0</v>
      </c>
      <c r="AG49" s="66"/>
      <c r="AH49" s="67">
        <v>0</v>
      </c>
      <c r="AI49" s="66"/>
      <c r="AJ49" s="67">
        <v>0</v>
      </c>
      <c r="AK49" s="66"/>
      <c r="AL49" s="68">
        <v>0</v>
      </c>
      <c r="AM49" s="65">
        <v>1</v>
      </c>
      <c r="AN49" s="67">
        <v>0</v>
      </c>
      <c r="AO49" s="66"/>
      <c r="AP49" s="67">
        <v>0</v>
      </c>
      <c r="AQ49" s="66"/>
      <c r="AR49" s="71">
        <v>0</v>
      </c>
      <c r="AS49" s="42"/>
    </row>
    <row r="50" spans="1:45" ht="12.75" customHeight="1">
      <c r="A50" s="93"/>
      <c r="B50" s="94"/>
      <c r="C50" s="28" t="s">
        <v>76</v>
      </c>
      <c r="D50" s="74"/>
      <c r="E50" s="30">
        <f>SUM(E51:E60)</f>
        <v>0</v>
      </c>
      <c r="F50" s="32">
        <f>E50*8/E$8</f>
        <v>0</v>
      </c>
      <c r="G50" s="32">
        <f>SUM(G51:G60)</f>
        <v>2</v>
      </c>
      <c r="H50" s="33">
        <v>0</v>
      </c>
      <c r="I50" s="32">
        <f>SUM(I51:I60)</f>
        <v>2</v>
      </c>
      <c r="J50" s="34">
        <v>2</v>
      </c>
      <c r="K50" s="35">
        <f>SUM(K51:K60)</f>
        <v>4</v>
      </c>
      <c r="L50" s="33">
        <v>1</v>
      </c>
      <c r="M50" s="32">
        <f>SUM(M51:M60)</f>
        <v>4</v>
      </c>
      <c r="N50" s="34">
        <v>1</v>
      </c>
      <c r="O50" s="36">
        <f>SUM(O51:O60)</f>
        <v>4</v>
      </c>
      <c r="P50" s="34">
        <v>1</v>
      </c>
      <c r="Q50" s="36">
        <f>SUM(Q51:Q60)</f>
        <v>3</v>
      </c>
      <c r="R50" s="33">
        <v>1</v>
      </c>
      <c r="S50" s="32">
        <f>SUM(S51:S60)</f>
        <v>4</v>
      </c>
      <c r="T50" s="163"/>
      <c r="U50" s="32">
        <f>SUM(U51:U60)</f>
        <v>0</v>
      </c>
      <c r="V50" s="76"/>
      <c r="W50" s="32">
        <f>SUM(W51:W60)</f>
        <v>1</v>
      </c>
      <c r="X50" s="33">
        <v>1</v>
      </c>
      <c r="Y50" s="32">
        <f>SUM(Y51:Y60)</f>
        <v>2</v>
      </c>
      <c r="Z50" s="33">
        <v>2</v>
      </c>
      <c r="AA50" s="32">
        <f>SUM(AA51:AA60)</f>
        <v>1</v>
      </c>
      <c r="AB50" s="33">
        <v>1</v>
      </c>
      <c r="AC50" s="36">
        <f>SUM(AC51:AC60)</f>
        <v>2</v>
      </c>
      <c r="AD50" s="33">
        <v>1</v>
      </c>
      <c r="AE50" s="32">
        <f>SUM(AE51:AE60)</f>
        <v>2</v>
      </c>
      <c r="AF50" s="33">
        <v>1</v>
      </c>
      <c r="AG50" s="32">
        <f>SUM(AG51:AG60)</f>
        <v>2</v>
      </c>
      <c r="AH50" s="33">
        <v>1</v>
      </c>
      <c r="AI50" s="32">
        <f>SUM(AI51:AI60)</f>
        <v>2</v>
      </c>
      <c r="AJ50" s="33">
        <v>1</v>
      </c>
      <c r="AK50" s="32">
        <f>SUM(AK51:AK60)</f>
        <v>0</v>
      </c>
      <c r="AL50" s="95"/>
      <c r="AM50" s="30">
        <f>SUM(AM51:AM60)</f>
        <v>3</v>
      </c>
      <c r="AN50" s="33">
        <v>1</v>
      </c>
      <c r="AO50" s="32">
        <f>SUM(AO51:AO60)</f>
        <v>6</v>
      </c>
      <c r="AP50" s="33">
        <v>1</v>
      </c>
      <c r="AQ50" s="32">
        <f>SUM(AQ51:AQ60)</f>
        <v>2</v>
      </c>
      <c r="AR50" s="77">
        <v>1</v>
      </c>
      <c r="AS50" s="97"/>
    </row>
    <row r="51" spans="1:45" ht="12.75" customHeight="1">
      <c r="A51" s="85">
        <f>A49+1</f>
        <v>38</v>
      </c>
      <c r="B51" s="86" t="s">
        <v>76</v>
      </c>
      <c r="C51" s="87" t="s">
        <v>77</v>
      </c>
      <c r="D51" s="44"/>
      <c r="E51" s="78"/>
      <c r="F51" s="79">
        <v>0</v>
      </c>
      <c r="G51" s="79"/>
      <c r="H51" s="80">
        <v>0</v>
      </c>
      <c r="I51" s="79"/>
      <c r="J51" s="81">
        <v>0</v>
      </c>
      <c r="K51" s="170">
        <v>1</v>
      </c>
      <c r="L51" s="80">
        <v>0</v>
      </c>
      <c r="M51" s="164">
        <v>1</v>
      </c>
      <c r="N51" s="81">
        <v>0</v>
      </c>
      <c r="O51" s="173">
        <v>1</v>
      </c>
      <c r="P51" s="81">
        <v>0</v>
      </c>
      <c r="Q51" s="84"/>
      <c r="R51" s="80">
        <v>0</v>
      </c>
      <c r="S51" s="79"/>
      <c r="T51" s="80">
        <v>0</v>
      </c>
      <c r="U51" s="79"/>
      <c r="V51" s="80">
        <v>0</v>
      </c>
      <c r="W51" s="79"/>
      <c r="X51" s="80"/>
      <c r="Y51" s="79"/>
      <c r="Z51" s="80"/>
      <c r="AA51" s="79"/>
      <c r="AB51" s="80"/>
      <c r="AC51" s="84"/>
      <c r="AD51" s="80">
        <v>0</v>
      </c>
      <c r="AE51" s="79"/>
      <c r="AF51" s="80">
        <v>0</v>
      </c>
      <c r="AG51" s="79"/>
      <c r="AH51" s="80">
        <v>0</v>
      </c>
      <c r="AI51" s="79"/>
      <c r="AJ51" s="80">
        <v>0</v>
      </c>
      <c r="AK51" s="79"/>
      <c r="AL51" s="81">
        <v>0</v>
      </c>
      <c r="AM51" s="78"/>
      <c r="AN51" s="80">
        <v>0</v>
      </c>
      <c r="AO51" s="79"/>
      <c r="AP51" s="80">
        <v>0</v>
      </c>
      <c r="AQ51" s="79"/>
      <c r="AR51" s="88">
        <v>0</v>
      </c>
      <c r="AS51" s="89"/>
    </row>
    <row r="52" spans="1:45" ht="15" customHeight="1">
      <c r="A52" s="85">
        <f t="shared" ref="A52:A60" si="4">A51+1</f>
        <v>39</v>
      </c>
      <c r="B52" s="86" t="s">
        <v>76</v>
      </c>
      <c r="C52" s="98" t="s">
        <v>78</v>
      </c>
      <c r="D52" s="44"/>
      <c r="E52" s="78"/>
      <c r="F52" s="79">
        <v>0</v>
      </c>
      <c r="G52" s="79"/>
      <c r="H52" s="80">
        <v>0</v>
      </c>
      <c r="I52" s="79"/>
      <c r="J52" s="81">
        <v>0</v>
      </c>
      <c r="K52" s="171"/>
      <c r="L52" s="80">
        <v>0</v>
      </c>
      <c r="M52" s="192"/>
      <c r="N52" s="81">
        <v>0</v>
      </c>
      <c r="O52" s="174"/>
      <c r="P52" s="81">
        <v>0</v>
      </c>
      <c r="Q52" s="84"/>
      <c r="R52" s="80">
        <v>0</v>
      </c>
      <c r="S52" s="79">
        <v>1</v>
      </c>
      <c r="T52" s="80">
        <v>0</v>
      </c>
      <c r="U52" s="79"/>
      <c r="V52" s="80">
        <v>0</v>
      </c>
      <c r="W52" s="79"/>
      <c r="X52" s="80"/>
      <c r="Y52" s="79"/>
      <c r="Z52" s="80"/>
      <c r="AA52" s="79"/>
      <c r="AB52" s="80"/>
      <c r="AC52" s="84"/>
      <c r="AD52" s="80">
        <v>0</v>
      </c>
      <c r="AE52" s="79"/>
      <c r="AF52" s="80">
        <v>0</v>
      </c>
      <c r="AG52" s="79"/>
      <c r="AH52" s="80">
        <v>0</v>
      </c>
      <c r="AI52" s="79"/>
      <c r="AJ52" s="80">
        <v>0</v>
      </c>
      <c r="AK52" s="79"/>
      <c r="AL52" s="81">
        <v>0</v>
      </c>
      <c r="AM52" s="78"/>
      <c r="AN52" s="80">
        <v>0</v>
      </c>
      <c r="AO52" s="79">
        <v>1</v>
      </c>
      <c r="AP52" s="80">
        <v>0</v>
      </c>
      <c r="AQ52" s="79">
        <v>1</v>
      </c>
      <c r="AR52" s="88">
        <v>0</v>
      </c>
      <c r="AS52" s="89"/>
    </row>
    <row r="53" spans="1:45" ht="15" customHeight="1">
      <c r="A53" s="85">
        <f t="shared" si="4"/>
        <v>40</v>
      </c>
      <c r="B53" s="86" t="s">
        <v>76</v>
      </c>
      <c r="C53" s="99" t="s">
        <v>79</v>
      </c>
      <c r="D53" s="44"/>
      <c r="E53" s="78"/>
      <c r="F53" s="79">
        <v>0</v>
      </c>
      <c r="G53" s="79"/>
      <c r="H53" s="80">
        <v>0</v>
      </c>
      <c r="I53" s="79"/>
      <c r="J53" s="81">
        <v>0</v>
      </c>
      <c r="K53" s="172"/>
      <c r="L53" s="80">
        <v>0</v>
      </c>
      <c r="M53" s="165"/>
      <c r="N53" s="81">
        <v>0</v>
      </c>
      <c r="O53" s="175"/>
      <c r="P53" s="81">
        <v>0</v>
      </c>
      <c r="Q53" s="84">
        <v>1</v>
      </c>
      <c r="R53" s="80">
        <v>0</v>
      </c>
      <c r="S53" s="79">
        <v>1</v>
      </c>
      <c r="T53" s="80">
        <v>0</v>
      </c>
      <c r="U53" s="79"/>
      <c r="V53" s="80">
        <v>0</v>
      </c>
      <c r="W53" s="79">
        <v>1</v>
      </c>
      <c r="X53" s="80"/>
      <c r="Y53" s="79">
        <v>1</v>
      </c>
      <c r="Z53" s="80"/>
      <c r="AA53" s="79">
        <v>1</v>
      </c>
      <c r="AB53" s="80"/>
      <c r="AC53" s="84">
        <v>1</v>
      </c>
      <c r="AD53" s="80">
        <v>0</v>
      </c>
      <c r="AE53" s="79">
        <v>1</v>
      </c>
      <c r="AF53" s="80">
        <v>0</v>
      </c>
      <c r="AG53" s="79">
        <v>1</v>
      </c>
      <c r="AH53" s="80">
        <v>0</v>
      </c>
      <c r="AI53" s="79">
        <v>1</v>
      </c>
      <c r="AJ53" s="80">
        <v>0</v>
      </c>
      <c r="AK53" s="79"/>
      <c r="AL53" s="81">
        <v>0</v>
      </c>
      <c r="AM53" s="78">
        <v>1</v>
      </c>
      <c r="AN53" s="80">
        <v>0</v>
      </c>
      <c r="AO53" s="79">
        <v>1</v>
      </c>
      <c r="AP53" s="80">
        <v>0</v>
      </c>
      <c r="AQ53" s="79">
        <v>1</v>
      </c>
      <c r="AR53" s="88">
        <v>0</v>
      </c>
      <c r="AS53" s="89"/>
    </row>
    <row r="54" spans="1:45" ht="12.75" customHeight="1">
      <c r="A54" s="41">
        <f t="shared" si="4"/>
        <v>41</v>
      </c>
      <c r="B54" s="42" t="s">
        <v>76</v>
      </c>
      <c r="C54" s="43" t="s">
        <v>80</v>
      </c>
      <c r="D54" s="44"/>
      <c r="E54" s="78"/>
      <c r="F54" s="79">
        <v>0</v>
      </c>
      <c r="G54" s="79">
        <v>1</v>
      </c>
      <c r="H54" s="80">
        <v>0</v>
      </c>
      <c r="I54" s="79">
        <v>1</v>
      </c>
      <c r="J54" s="81">
        <v>0</v>
      </c>
      <c r="K54" s="82">
        <v>1</v>
      </c>
      <c r="L54" s="80">
        <v>0</v>
      </c>
      <c r="M54" s="79">
        <v>1</v>
      </c>
      <c r="N54" s="81">
        <v>0</v>
      </c>
      <c r="O54" s="49">
        <v>1</v>
      </c>
      <c r="P54" s="81">
        <v>0</v>
      </c>
      <c r="Q54" s="84">
        <v>2</v>
      </c>
      <c r="R54" s="80">
        <v>0</v>
      </c>
      <c r="S54" s="79">
        <v>2</v>
      </c>
      <c r="T54" s="80">
        <v>0</v>
      </c>
      <c r="U54" s="79"/>
      <c r="V54" s="80">
        <v>0</v>
      </c>
      <c r="W54" s="79"/>
      <c r="X54" s="80"/>
      <c r="Y54" s="79"/>
      <c r="Z54" s="80"/>
      <c r="AA54" s="79"/>
      <c r="AB54" s="80"/>
      <c r="AC54" s="84"/>
      <c r="AD54" s="80">
        <v>0</v>
      </c>
      <c r="AE54" s="79"/>
      <c r="AF54" s="80">
        <v>0</v>
      </c>
      <c r="AG54" s="79"/>
      <c r="AH54" s="80">
        <v>0</v>
      </c>
      <c r="AI54" s="79"/>
      <c r="AJ54" s="80">
        <v>0</v>
      </c>
      <c r="AK54" s="79"/>
      <c r="AL54" s="81">
        <v>0</v>
      </c>
      <c r="AM54" s="51">
        <v>1</v>
      </c>
      <c r="AN54" s="80">
        <v>0</v>
      </c>
      <c r="AO54" s="51"/>
      <c r="AP54" s="80">
        <v>0</v>
      </c>
      <c r="AQ54" s="51"/>
      <c r="AR54" s="52">
        <v>0</v>
      </c>
      <c r="AS54" s="53"/>
    </row>
    <row r="55" spans="1:45" ht="12.75" customHeight="1">
      <c r="A55" s="85">
        <f t="shared" si="4"/>
        <v>42</v>
      </c>
      <c r="B55" s="86" t="s">
        <v>76</v>
      </c>
      <c r="C55" s="99" t="s">
        <v>81</v>
      </c>
      <c r="D55" s="44"/>
      <c r="E55" s="78"/>
      <c r="F55" s="79">
        <v>0</v>
      </c>
      <c r="G55" s="79">
        <v>1</v>
      </c>
      <c r="H55" s="80">
        <v>0</v>
      </c>
      <c r="I55" s="79"/>
      <c r="J55" s="81">
        <v>0</v>
      </c>
      <c r="K55" s="82"/>
      <c r="L55" s="80">
        <v>0</v>
      </c>
      <c r="M55" s="79">
        <v>1</v>
      </c>
      <c r="N55" s="81">
        <v>0</v>
      </c>
      <c r="O55" s="49"/>
      <c r="P55" s="81">
        <v>0</v>
      </c>
      <c r="Q55" s="84"/>
      <c r="R55" s="80">
        <v>0</v>
      </c>
      <c r="S55" s="79"/>
      <c r="T55" s="80">
        <v>0</v>
      </c>
      <c r="U55" s="79"/>
      <c r="V55" s="80">
        <v>0</v>
      </c>
      <c r="W55" s="79"/>
      <c r="X55" s="80"/>
      <c r="Y55" s="79"/>
      <c r="Z55" s="80"/>
      <c r="AA55" s="79"/>
      <c r="AB55" s="80"/>
      <c r="AC55" s="84">
        <v>1</v>
      </c>
      <c r="AD55" s="80">
        <v>0</v>
      </c>
      <c r="AE55" s="79">
        <v>1</v>
      </c>
      <c r="AF55" s="80">
        <v>0</v>
      </c>
      <c r="AG55" s="79"/>
      <c r="AH55" s="80">
        <v>0</v>
      </c>
      <c r="AI55" s="79">
        <v>1</v>
      </c>
      <c r="AJ55" s="80">
        <v>0</v>
      </c>
      <c r="AK55" s="79"/>
      <c r="AL55" s="81">
        <v>0</v>
      </c>
      <c r="AM55" s="78"/>
      <c r="AN55" s="80">
        <v>0</v>
      </c>
      <c r="AO55" s="79">
        <v>1</v>
      </c>
      <c r="AP55" s="80">
        <v>0</v>
      </c>
      <c r="AQ55" s="79"/>
      <c r="AR55" s="88">
        <v>0</v>
      </c>
      <c r="AS55" s="89"/>
    </row>
    <row r="56" spans="1:45" ht="12.75" customHeight="1">
      <c r="A56" s="85">
        <f t="shared" si="4"/>
        <v>43</v>
      </c>
      <c r="B56" s="86" t="s">
        <v>76</v>
      </c>
      <c r="C56" s="100" t="s">
        <v>82</v>
      </c>
      <c r="D56" s="44"/>
      <c r="E56" s="78"/>
      <c r="F56" s="79">
        <v>0</v>
      </c>
      <c r="G56" s="79"/>
      <c r="H56" s="80">
        <v>0</v>
      </c>
      <c r="I56" s="79"/>
      <c r="J56" s="81">
        <v>0</v>
      </c>
      <c r="K56" s="170">
        <v>1</v>
      </c>
      <c r="L56" s="80">
        <v>0</v>
      </c>
      <c r="M56" s="79"/>
      <c r="N56" s="81">
        <v>0</v>
      </c>
      <c r="O56" s="49"/>
      <c r="P56" s="81">
        <v>0</v>
      </c>
      <c r="Q56" s="84"/>
      <c r="R56" s="80">
        <v>0</v>
      </c>
      <c r="S56" s="79"/>
      <c r="T56" s="80">
        <v>0</v>
      </c>
      <c r="U56" s="79"/>
      <c r="V56" s="80">
        <v>0</v>
      </c>
      <c r="W56" s="79"/>
      <c r="X56" s="80"/>
      <c r="Y56" s="79"/>
      <c r="Z56" s="80"/>
      <c r="AA56" s="79"/>
      <c r="AB56" s="80"/>
      <c r="AC56" s="84"/>
      <c r="AD56" s="80">
        <v>0</v>
      </c>
      <c r="AE56" s="79"/>
      <c r="AF56" s="80">
        <v>0</v>
      </c>
      <c r="AG56" s="79"/>
      <c r="AH56" s="80">
        <v>0</v>
      </c>
      <c r="AI56" s="79"/>
      <c r="AJ56" s="80">
        <v>0</v>
      </c>
      <c r="AK56" s="79"/>
      <c r="AL56" s="81">
        <v>0</v>
      </c>
      <c r="AM56" s="78">
        <v>1</v>
      </c>
      <c r="AN56" s="80">
        <v>0</v>
      </c>
      <c r="AO56" s="79"/>
      <c r="AP56" s="80">
        <v>0</v>
      </c>
      <c r="AQ56" s="79"/>
      <c r="AR56" s="88">
        <v>0</v>
      </c>
      <c r="AS56" s="89"/>
    </row>
    <row r="57" spans="1:45" ht="15" customHeight="1">
      <c r="A57" s="85">
        <f t="shared" si="4"/>
        <v>44</v>
      </c>
      <c r="B57" s="86" t="s">
        <v>76</v>
      </c>
      <c r="C57" s="100" t="s">
        <v>83</v>
      </c>
      <c r="D57" s="44"/>
      <c r="E57" s="78"/>
      <c r="F57" s="79">
        <v>0</v>
      </c>
      <c r="G57" s="79"/>
      <c r="H57" s="80">
        <v>0</v>
      </c>
      <c r="I57" s="79"/>
      <c r="J57" s="81">
        <v>0</v>
      </c>
      <c r="K57" s="172"/>
      <c r="L57" s="80">
        <v>0</v>
      </c>
      <c r="M57" s="79"/>
      <c r="N57" s="81">
        <v>0</v>
      </c>
      <c r="O57" s="49"/>
      <c r="P57" s="81">
        <v>0</v>
      </c>
      <c r="Q57" s="84"/>
      <c r="R57" s="80">
        <v>0</v>
      </c>
      <c r="S57" s="79"/>
      <c r="T57" s="80">
        <v>0</v>
      </c>
      <c r="U57" s="79"/>
      <c r="V57" s="80">
        <v>0</v>
      </c>
      <c r="W57" s="79"/>
      <c r="X57" s="80"/>
      <c r="Y57" s="79">
        <v>1</v>
      </c>
      <c r="Z57" s="80"/>
      <c r="AA57" s="79"/>
      <c r="AB57" s="80"/>
      <c r="AC57" s="84"/>
      <c r="AD57" s="80">
        <v>0</v>
      </c>
      <c r="AE57" s="79"/>
      <c r="AF57" s="80">
        <v>0</v>
      </c>
      <c r="AG57" s="79"/>
      <c r="AH57" s="80">
        <v>0</v>
      </c>
      <c r="AI57" s="79"/>
      <c r="AJ57" s="80">
        <v>0</v>
      </c>
      <c r="AK57" s="79"/>
      <c r="AL57" s="81">
        <v>0</v>
      </c>
      <c r="AM57" s="78"/>
      <c r="AN57" s="80">
        <v>0</v>
      </c>
      <c r="AO57" s="79">
        <v>1</v>
      </c>
      <c r="AP57" s="80">
        <v>0</v>
      </c>
      <c r="AQ57" s="79"/>
      <c r="AR57" s="88">
        <v>0</v>
      </c>
      <c r="AS57" s="89"/>
    </row>
    <row r="58" spans="1:45" ht="12.75" customHeight="1">
      <c r="A58" s="85">
        <f t="shared" si="4"/>
        <v>45</v>
      </c>
      <c r="B58" s="86" t="s">
        <v>76</v>
      </c>
      <c r="C58" s="100" t="s">
        <v>84</v>
      </c>
      <c r="D58" s="44"/>
      <c r="E58" s="78"/>
      <c r="F58" s="79">
        <v>0</v>
      </c>
      <c r="G58" s="79"/>
      <c r="H58" s="80">
        <v>0</v>
      </c>
      <c r="I58" s="79"/>
      <c r="J58" s="81">
        <v>0</v>
      </c>
      <c r="K58" s="82"/>
      <c r="L58" s="80">
        <v>0</v>
      </c>
      <c r="M58" s="79"/>
      <c r="N58" s="81">
        <v>0</v>
      </c>
      <c r="O58" s="49">
        <v>1</v>
      </c>
      <c r="P58" s="81">
        <v>0</v>
      </c>
      <c r="Q58" s="84"/>
      <c r="R58" s="80">
        <v>0</v>
      </c>
      <c r="S58" s="79"/>
      <c r="T58" s="80">
        <v>0</v>
      </c>
      <c r="U58" s="79"/>
      <c r="V58" s="80">
        <v>0</v>
      </c>
      <c r="W58" s="79"/>
      <c r="X58" s="80"/>
      <c r="Y58" s="79"/>
      <c r="Z58" s="80"/>
      <c r="AA58" s="79"/>
      <c r="AB58" s="80"/>
      <c r="AC58" s="84"/>
      <c r="AD58" s="80">
        <v>0</v>
      </c>
      <c r="AE58" s="79"/>
      <c r="AF58" s="80">
        <v>0</v>
      </c>
      <c r="AG58" s="79">
        <v>1</v>
      </c>
      <c r="AH58" s="80">
        <v>0</v>
      </c>
      <c r="AI58" s="79"/>
      <c r="AJ58" s="80">
        <v>0</v>
      </c>
      <c r="AK58" s="79"/>
      <c r="AL58" s="81">
        <v>0</v>
      </c>
      <c r="AM58" s="78"/>
      <c r="AN58" s="80">
        <v>0</v>
      </c>
      <c r="AO58" s="79">
        <v>1</v>
      </c>
      <c r="AP58" s="80">
        <v>0</v>
      </c>
      <c r="AQ58" s="79"/>
      <c r="AR58" s="88">
        <v>0</v>
      </c>
      <c r="AS58" s="89"/>
    </row>
    <row r="59" spans="1:45" ht="12.75" customHeight="1">
      <c r="A59" s="85">
        <f t="shared" si="4"/>
        <v>46</v>
      </c>
      <c r="B59" s="86" t="s">
        <v>76</v>
      </c>
      <c r="C59" s="100" t="s">
        <v>85</v>
      </c>
      <c r="D59" s="44"/>
      <c r="E59" s="78"/>
      <c r="F59" s="79">
        <v>0</v>
      </c>
      <c r="G59" s="79"/>
      <c r="H59" s="80">
        <v>0</v>
      </c>
      <c r="I59" s="79"/>
      <c r="J59" s="81">
        <v>0</v>
      </c>
      <c r="K59" s="166">
        <v>1</v>
      </c>
      <c r="L59" s="80">
        <v>0</v>
      </c>
      <c r="M59" s="79"/>
      <c r="N59" s="81">
        <v>0</v>
      </c>
      <c r="O59" s="49">
        <v>1</v>
      </c>
      <c r="P59" s="81">
        <v>0</v>
      </c>
      <c r="Q59" s="84"/>
      <c r="R59" s="80">
        <v>0</v>
      </c>
      <c r="S59" s="79"/>
      <c r="T59" s="80">
        <v>0</v>
      </c>
      <c r="U59" s="79"/>
      <c r="V59" s="80">
        <v>0</v>
      </c>
      <c r="W59" s="79"/>
      <c r="X59" s="80"/>
      <c r="Y59" s="79"/>
      <c r="Z59" s="80"/>
      <c r="AA59" s="79"/>
      <c r="AB59" s="80"/>
      <c r="AC59" s="84"/>
      <c r="AD59" s="80">
        <v>0</v>
      </c>
      <c r="AE59" s="79"/>
      <c r="AF59" s="80">
        <v>0</v>
      </c>
      <c r="AG59" s="79"/>
      <c r="AH59" s="80">
        <v>0</v>
      </c>
      <c r="AI59" s="79"/>
      <c r="AJ59" s="80">
        <v>0</v>
      </c>
      <c r="AK59" s="79"/>
      <c r="AL59" s="81">
        <v>0</v>
      </c>
      <c r="AM59" s="78"/>
      <c r="AN59" s="80">
        <v>0</v>
      </c>
      <c r="AO59" s="79">
        <v>1</v>
      </c>
      <c r="AP59" s="80">
        <v>0</v>
      </c>
      <c r="AQ59" s="79"/>
      <c r="AR59" s="88">
        <v>0</v>
      </c>
      <c r="AS59" s="89"/>
    </row>
    <row r="60" spans="1:45" ht="15.75" customHeight="1">
      <c r="A60" s="61">
        <f t="shared" si="4"/>
        <v>47</v>
      </c>
      <c r="B60" s="62" t="s">
        <v>76</v>
      </c>
      <c r="C60" s="63" t="s">
        <v>86</v>
      </c>
      <c r="D60" s="64"/>
      <c r="E60" s="65"/>
      <c r="F60" s="66">
        <v>0</v>
      </c>
      <c r="G60" s="66"/>
      <c r="H60" s="67">
        <v>0</v>
      </c>
      <c r="I60" s="66">
        <v>1</v>
      </c>
      <c r="J60" s="68">
        <v>0</v>
      </c>
      <c r="K60" s="167"/>
      <c r="L60" s="67">
        <v>0</v>
      </c>
      <c r="M60" s="66">
        <v>1</v>
      </c>
      <c r="N60" s="68">
        <v>0</v>
      </c>
      <c r="O60" s="70"/>
      <c r="P60" s="68">
        <v>0</v>
      </c>
      <c r="Q60" s="70"/>
      <c r="R60" s="67">
        <v>0</v>
      </c>
      <c r="S60" s="66"/>
      <c r="T60" s="67">
        <v>0</v>
      </c>
      <c r="U60" s="66"/>
      <c r="V60" s="67">
        <v>0</v>
      </c>
      <c r="W60" s="66"/>
      <c r="X60" s="67"/>
      <c r="Y60" s="66"/>
      <c r="Z60" s="67"/>
      <c r="AA60" s="66"/>
      <c r="AB60" s="67"/>
      <c r="AC60" s="70"/>
      <c r="AD60" s="67">
        <v>0</v>
      </c>
      <c r="AE60" s="66"/>
      <c r="AF60" s="67">
        <v>0</v>
      </c>
      <c r="AG60" s="66"/>
      <c r="AH60" s="67">
        <v>0</v>
      </c>
      <c r="AI60" s="66"/>
      <c r="AJ60" s="67">
        <v>0</v>
      </c>
      <c r="AK60" s="66"/>
      <c r="AL60" s="68">
        <v>0</v>
      </c>
      <c r="AM60" s="65"/>
      <c r="AN60" s="67">
        <v>0</v>
      </c>
      <c r="AO60" s="66"/>
      <c r="AP60" s="67">
        <v>0</v>
      </c>
      <c r="AQ60" s="66"/>
      <c r="AR60" s="71">
        <v>0</v>
      </c>
      <c r="AS60" s="42"/>
    </row>
    <row r="61" spans="1:45" ht="14.4">
      <c r="A61" s="93"/>
      <c r="B61" s="94"/>
      <c r="C61" s="28" t="s">
        <v>87</v>
      </c>
      <c r="D61" s="74"/>
      <c r="E61" s="30">
        <f>SUM(E62:E69)</f>
        <v>1</v>
      </c>
      <c r="F61" s="31">
        <v>1</v>
      </c>
      <c r="G61" s="32">
        <f>SUM(G62:G69)</f>
        <v>4</v>
      </c>
      <c r="H61" s="33">
        <v>1</v>
      </c>
      <c r="I61" s="32">
        <f>SUM(I62:I69)</f>
        <v>0</v>
      </c>
      <c r="J61" s="95">
        <f>I61*8/I$8</f>
        <v>0</v>
      </c>
      <c r="K61" s="35">
        <f>SUM(K62:K69)</f>
        <v>6</v>
      </c>
      <c r="L61" s="33">
        <v>1</v>
      </c>
      <c r="M61" s="32">
        <f>SUM(M62:M69)</f>
        <v>4</v>
      </c>
      <c r="N61" s="34">
        <v>1</v>
      </c>
      <c r="O61" s="36">
        <f>SUM(O62:O69)</f>
        <v>5</v>
      </c>
      <c r="P61" s="34">
        <v>1</v>
      </c>
      <c r="Q61" s="36">
        <f>SUM(Q62:Q69)</f>
        <v>6</v>
      </c>
      <c r="R61" s="161">
        <v>2</v>
      </c>
      <c r="S61" s="32">
        <f>SUM(S62:S69)</f>
        <v>4</v>
      </c>
      <c r="T61" s="33">
        <v>2</v>
      </c>
      <c r="U61" s="32">
        <f>SUM(U62:U69)</f>
        <v>2</v>
      </c>
      <c r="V61" s="33">
        <v>2</v>
      </c>
      <c r="W61" s="32">
        <f>SUM(W62:W69)</f>
        <v>4</v>
      </c>
      <c r="X61" s="33">
        <v>2</v>
      </c>
      <c r="Y61" s="32">
        <f>SUM(Y62:Y69)</f>
        <v>0</v>
      </c>
      <c r="Z61" s="76"/>
      <c r="AA61" s="32">
        <f>SUM(AA62:AA69)</f>
        <v>1</v>
      </c>
      <c r="AB61" s="33">
        <v>1</v>
      </c>
      <c r="AC61" s="36">
        <f>SUM(AC62:AC69)</f>
        <v>7</v>
      </c>
      <c r="AD61" s="33">
        <v>2</v>
      </c>
      <c r="AE61" s="32">
        <f>SUM(AE62:AE69)</f>
        <v>7</v>
      </c>
      <c r="AF61" s="33">
        <v>2</v>
      </c>
      <c r="AG61" s="32">
        <f>SUM(AG62:AG69)</f>
        <v>4</v>
      </c>
      <c r="AH61" s="33">
        <v>1</v>
      </c>
      <c r="AI61" s="32">
        <f>SUM(AI62:AI69)</f>
        <v>5</v>
      </c>
      <c r="AJ61" s="33">
        <v>1</v>
      </c>
      <c r="AK61" s="32">
        <f>SUM(AK62:AK69)</f>
        <v>4</v>
      </c>
      <c r="AL61" s="34">
        <v>1</v>
      </c>
      <c r="AM61" s="30">
        <f>SUM(AM62:AM69)</f>
        <v>4</v>
      </c>
      <c r="AN61" s="33">
        <v>1</v>
      </c>
      <c r="AO61" s="32">
        <f>SUM(AO62:AO69)</f>
        <v>5</v>
      </c>
      <c r="AP61" s="33">
        <v>1</v>
      </c>
      <c r="AQ61" s="32">
        <f>SUM(AQ62:AQ69)</f>
        <v>2</v>
      </c>
      <c r="AR61" s="77">
        <v>1</v>
      </c>
      <c r="AS61" s="97"/>
    </row>
    <row r="62" spans="1:45" ht="12.75" customHeight="1">
      <c r="A62" s="85">
        <f>A60+1</f>
        <v>48</v>
      </c>
      <c r="B62" s="86" t="s">
        <v>87</v>
      </c>
      <c r="C62" s="100" t="s">
        <v>88</v>
      </c>
      <c r="D62" s="44"/>
      <c r="E62" s="78"/>
      <c r="F62" s="79">
        <v>0</v>
      </c>
      <c r="G62" s="79">
        <v>1</v>
      </c>
      <c r="H62" s="80">
        <v>0</v>
      </c>
      <c r="I62" s="79"/>
      <c r="J62" s="81">
        <v>0</v>
      </c>
      <c r="K62" s="82">
        <v>1</v>
      </c>
      <c r="L62" s="80">
        <v>0</v>
      </c>
      <c r="M62" s="79">
        <v>1</v>
      </c>
      <c r="N62" s="81">
        <v>0</v>
      </c>
      <c r="O62" s="49">
        <v>1</v>
      </c>
      <c r="P62" s="81">
        <v>0</v>
      </c>
      <c r="Q62" s="84"/>
      <c r="R62" s="162"/>
      <c r="S62" s="79"/>
      <c r="T62" s="80">
        <v>0</v>
      </c>
      <c r="U62" s="79">
        <v>1</v>
      </c>
      <c r="V62" s="80">
        <v>0</v>
      </c>
      <c r="W62" s="79"/>
      <c r="X62" s="80"/>
      <c r="Y62" s="79"/>
      <c r="Z62" s="80"/>
      <c r="AA62" s="79"/>
      <c r="AB62" s="80"/>
      <c r="AC62" s="84">
        <v>1</v>
      </c>
      <c r="AD62" s="80">
        <v>0</v>
      </c>
      <c r="AE62" s="79">
        <v>1</v>
      </c>
      <c r="AF62" s="80">
        <v>0</v>
      </c>
      <c r="AG62" s="79">
        <v>1</v>
      </c>
      <c r="AH62" s="80">
        <v>0</v>
      </c>
      <c r="AI62" s="79">
        <v>1</v>
      </c>
      <c r="AJ62" s="80">
        <v>0</v>
      </c>
      <c r="AK62" s="79">
        <v>2</v>
      </c>
      <c r="AL62" s="81">
        <v>0</v>
      </c>
      <c r="AM62" s="78"/>
      <c r="AN62" s="80">
        <v>0</v>
      </c>
      <c r="AO62" s="79">
        <v>1</v>
      </c>
      <c r="AP62" s="80">
        <v>0</v>
      </c>
      <c r="AQ62" s="79"/>
      <c r="AR62" s="88">
        <v>0</v>
      </c>
      <c r="AS62" s="89"/>
    </row>
    <row r="63" spans="1:45" ht="12.75" customHeight="1">
      <c r="A63" s="101">
        <f t="shared" ref="A63:A69" si="5">A62+1</f>
        <v>49</v>
      </c>
      <c r="B63" s="86" t="s">
        <v>87</v>
      </c>
      <c r="C63" s="102" t="s">
        <v>89</v>
      </c>
      <c r="D63" s="44"/>
      <c r="E63" s="78">
        <v>1</v>
      </c>
      <c r="F63" s="79">
        <v>0</v>
      </c>
      <c r="G63" s="79">
        <v>1</v>
      </c>
      <c r="H63" s="80">
        <v>0</v>
      </c>
      <c r="I63" s="79"/>
      <c r="J63" s="81">
        <v>0</v>
      </c>
      <c r="K63" s="82">
        <v>1</v>
      </c>
      <c r="L63" s="80">
        <v>0</v>
      </c>
      <c r="M63" s="79">
        <v>1</v>
      </c>
      <c r="N63" s="81">
        <v>0</v>
      </c>
      <c r="O63" s="49"/>
      <c r="P63" s="81">
        <v>0</v>
      </c>
      <c r="Q63" s="84">
        <v>1</v>
      </c>
      <c r="R63" s="162"/>
      <c r="S63" s="79">
        <v>1</v>
      </c>
      <c r="T63" s="80">
        <v>0</v>
      </c>
      <c r="U63" s="79"/>
      <c r="V63" s="80">
        <v>0</v>
      </c>
      <c r="W63" s="79">
        <v>1</v>
      </c>
      <c r="X63" s="80"/>
      <c r="Y63" s="79"/>
      <c r="Z63" s="80"/>
      <c r="AA63" s="79"/>
      <c r="AB63" s="80"/>
      <c r="AC63" s="84">
        <v>1</v>
      </c>
      <c r="AD63" s="80">
        <v>0</v>
      </c>
      <c r="AE63" s="79">
        <v>1</v>
      </c>
      <c r="AF63" s="80">
        <v>0</v>
      </c>
      <c r="AG63" s="79"/>
      <c r="AH63" s="80">
        <v>0</v>
      </c>
      <c r="AI63" s="79">
        <v>1</v>
      </c>
      <c r="AJ63" s="80">
        <v>0</v>
      </c>
      <c r="AK63" s="79"/>
      <c r="AL63" s="81">
        <v>0</v>
      </c>
      <c r="AM63" s="51"/>
      <c r="AN63" s="80">
        <v>0</v>
      </c>
      <c r="AO63" s="51"/>
      <c r="AP63" s="80">
        <v>0</v>
      </c>
      <c r="AQ63" s="51"/>
      <c r="AR63" s="52">
        <v>0</v>
      </c>
      <c r="AS63" s="53"/>
    </row>
    <row r="64" spans="1:45" ht="12.75" customHeight="1">
      <c r="A64" s="41">
        <f t="shared" si="5"/>
        <v>50</v>
      </c>
      <c r="B64" s="86" t="s">
        <v>87</v>
      </c>
      <c r="C64" s="43" t="s">
        <v>90</v>
      </c>
      <c r="D64" s="44"/>
      <c r="E64" s="78"/>
      <c r="F64" s="79">
        <v>0</v>
      </c>
      <c r="G64" s="79"/>
      <c r="H64" s="80">
        <v>0</v>
      </c>
      <c r="I64" s="79"/>
      <c r="J64" s="81">
        <v>0</v>
      </c>
      <c r="K64" s="82"/>
      <c r="L64" s="80">
        <v>0</v>
      </c>
      <c r="M64" s="79"/>
      <c r="N64" s="81">
        <v>0</v>
      </c>
      <c r="O64" s="49">
        <v>1</v>
      </c>
      <c r="P64" s="81">
        <v>0</v>
      </c>
      <c r="Q64" s="84">
        <v>1</v>
      </c>
      <c r="R64" s="162"/>
      <c r="S64" s="79"/>
      <c r="T64" s="80">
        <v>0</v>
      </c>
      <c r="U64" s="79"/>
      <c r="V64" s="80">
        <v>0</v>
      </c>
      <c r="W64" s="79">
        <v>2</v>
      </c>
      <c r="X64" s="80"/>
      <c r="Y64" s="79"/>
      <c r="Z64" s="80"/>
      <c r="AA64" s="79"/>
      <c r="AB64" s="80"/>
      <c r="AC64" s="84">
        <v>1</v>
      </c>
      <c r="AD64" s="80">
        <v>0</v>
      </c>
      <c r="AE64" s="79">
        <v>2</v>
      </c>
      <c r="AF64" s="80">
        <v>0</v>
      </c>
      <c r="AG64" s="79">
        <v>2</v>
      </c>
      <c r="AH64" s="80">
        <v>0</v>
      </c>
      <c r="AI64" s="79">
        <v>1</v>
      </c>
      <c r="AJ64" s="80">
        <v>0</v>
      </c>
      <c r="AK64" s="79"/>
      <c r="AL64" s="81">
        <v>0</v>
      </c>
      <c r="AM64" s="51">
        <v>1</v>
      </c>
      <c r="AN64" s="80">
        <v>0</v>
      </c>
      <c r="AO64" s="51">
        <v>1</v>
      </c>
      <c r="AP64" s="80">
        <v>0</v>
      </c>
      <c r="AQ64" s="51">
        <v>1</v>
      </c>
      <c r="AR64" s="52">
        <v>0</v>
      </c>
      <c r="AS64" s="53"/>
    </row>
    <row r="65" spans="1:45" ht="12.75" customHeight="1">
      <c r="A65" s="101">
        <f t="shared" si="5"/>
        <v>51</v>
      </c>
      <c r="B65" s="86" t="s">
        <v>87</v>
      </c>
      <c r="C65" s="43" t="s">
        <v>91</v>
      </c>
      <c r="D65" s="44"/>
      <c r="E65" s="78"/>
      <c r="F65" s="79">
        <v>0</v>
      </c>
      <c r="G65" s="79">
        <v>1</v>
      </c>
      <c r="H65" s="80">
        <v>0</v>
      </c>
      <c r="I65" s="79"/>
      <c r="J65" s="81">
        <v>0</v>
      </c>
      <c r="K65" s="82">
        <v>1</v>
      </c>
      <c r="L65" s="80">
        <v>0</v>
      </c>
      <c r="M65" s="79"/>
      <c r="N65" s="81">
        <v>0</v>
      </c>
      <c r="O65" s="49"/>
      <c r="P65" s="81">
        <v>0</v>
      </c>
      <c r="Q65" s="84"/>
      <c r="R65" s="162"/>
      <c r="S65" s="79"/>
      <c r="T65" s="80">
        <v>0</v>
      </c>
      <c r="U65" s="79">
        <v>1</v>
      </c>
      <c r="V65" s="80">
        <v>0</v>
      </c>
      <c r="W65" s="79"/>
      <c r="X65" s="80"/>
      <c r="Y65" s="79"/>
      <c r="Z65" s="80"/>
      <c r="AA65" s="79"/>
      <c r="AB65" s="80"/>
      <c r="AC65" s="84">
        <v>1</v>
      </c>
      <c r="AD65" s="80">
        <v>0</v>
      </c>
      <c r="AE65" s="79">
        <v>1</v>
      </c>
      <c r="AF65" s="80">
        <v>0</v>
      </c>
      <c r="AG65" s="79"/>
      <c r="AH65" s="80">
        <v>0</v>
      </c>
      <c r="AI65" s="79"/>
      <c r="AJ65" s="80">
        <v>0</v>
      </c>
      <c r="AK65" s="79">
        <v>1</v>
      </c>
      <c r="AL65" s="81">
        <v>0</v>
      </c>
      <c r="AM65" s="51">
        <v>1</v>
      </c>
      <c r="AN65" s="80">
        <v>0</v>
      </c>
      <c r="AO65" s="51"/>
      <c r="AP65" s="80">
        <v>0</v>
      </c>
      <c r="AQ65" s="51"/>
      <c r="AR65" s="52">
        <v>0</v>
      </c>
      <c r="AS65" s="53"/>
    </row>
    <row r="66" spans="1:45" ht="12.75" customHeight="1">
      <c r="A66" s="101">
        <f t="shared" si="5"/>
        <v>52</v>
      </c>
      <c r="B66" s="102" t="s">
        <v>87</v>
      </c>
      <c r="C66" s="103" t="s">
        <v>92</v>
      </c>
      <c r="D66" s="44"/>
      <c r="E66" s="78"/>
      <c r="F66" s="79">
        <v>0</v>
      </c>
      <c r="G66" s="79">
        <v>1</v>
      </c>
      <c r="H66" s="80">
        <v>0</v>
      </c>
      <c r="I66" s="79"/>
      <c r="J66" s="81">
        <v>0</v>
      </c>
      <c r="K66" s="82">
        <v>1</v>
      </c>
      <c r="L66" s="80">
        <v>0</v>
      </c>
      <c r="M66" s="79">
        <v>1</v>
      </c>
      <c r="N66" s="81">
        <v>0</v>
      </c>
      <c r="O66" s="49">
        <v>1</v>
      </c>
      <c r="P66" s="81">
        <v>0</v>
      </c>
      <c r="Q66" s="84">
        <v>2</v>
      </c>
      <c r="R66" s="162"/>
      <c r="S66" s="79">
        <v>2</v>
      </c>
      <c r="T66" s="80">
        <v>0</v>
      </c>
      <c r="U66" s="79"/>
      <c r="V66" s="80">
        <v>0</v>
      </c>
      <c r="W66" s="79">
        <v>1</v>
      </c>
      <c r="X66" s="80"/>
      <c r="Y66" s="79"/>
      <c r="Z66" s="80"/>
      <c r="AA66" s="79"/>
      <c r="AB66" s="80"/>
      <c r="AC66" s="84">
        <v>2</v>
      </c>
      <c r="AD66" s="80">
        <v>0</v>
      </c>
      <c r="AE66" s="79">
        <v>2</v>
      </c>
      <c r="AF66" s="80">
        <v>0</v>
      </c>
      <c r="AG66" s="79">
        <v>1</v>
      </c>
      <c r="AH66" s="80">
        <v>0</v>
      </c>
      <c r="AI66" s="79">
        <v>2</v>
      </c>
      <c r="AJ66" s="80">
        <v>0</v>
      </c>
      <c r="AK66" s="79">
        <v>1</v>
      </c>
      <c r="AL66" s="81">
        <v>0</v>
      </c>
      <c r="AM66" s="51">
        <v>1</v>
      </c>
      <c r="AN66" s="80">
        <v>0</v>
      </c>
      <c r="AO66" s="51">
        <v>2</v>
      </c>
      <c r="AP66" s="80">
        <v>0</v>
      </c>
      <c r="AQ66" s="51">
        <v>1</v>
      </c>
      <c r="AR66" s="52">
        <v>0</v>
      </c>
      <c r="AS66" s="53"/>
    </row>
    <row r="67" spans="1:45" ht="15" customHeight="1">
      <c r="A67" s="101">
        <f t="shared" si="5"/>
        <v>53</v>
      </c>
      <c r="B67" s="102" t="s">
        <v>87</v>
      </c>
      <c r="C67" s="43" t="s">
        <v>93</v>
      </c>
      <c r="D67" s="44"/>
      <c r="E67" s="78"/>
      <c r="F67" s="79">
        <v>0</v>
      </c>
      <c r="G67" s="79"/>
      <c r="H67" s="80">
        <v>0</v>
      </c>
      <c r="I67" s="79"/>
      <c r="J67" s="81">
        <v>0</v>
      </c>
      <c r="K67" s="170">
        <v>1</v>
      </c>
      <c r="L67" s="80">
        <v>0</v>
      </c>
      <c r="M67" s="164">
        <v>1</v>
      </c>
      <c r="N67" s="81">
        <v>0</v>
      </c>
      <c r="O67" s="49"/>
      <c r="P67" s="81">
        <v>0</v>
      </c>
      <c r="Q67" s="84">
        <v>1</v>
      </c>
      <c r="R67" s="162"/>
      <c r="S67" s="79">
        <v>1</v>
      </c>
      <c r="T67" s="80">
        <v>0</v>
      </c>
      <c r="U67" s="79"/>
      <c r="V67" s="80">
        <v>0</v>
      </c>
      <c r="W67" s="79"/>
      <c r="X67" s="80"/>
      <c r="Y67" s="79"/>
      <c r="Z67" s="80"/>
      <c r="AA67" s="79"/>
      <c r="AB67" s="80"/>
      <c r="AC67" s="84">
        <v>1</v>
      </c>
      <c r="AD67" s="80">
        <v>0</v>
      </c>
      <c r="AE67" s="79"/>
      <c r="AF67" s="80">
        <v>0</v>
      </c>
      <c r="AG67" s="79"/>
      <c r="AH67" s="80">
        <v>0</v>
      </c>
      <c r="AI67" s="79"/>
      <c r="AJ67" s="80">
        <v>0</v>
      </c>
      <c r="AK67" s="79"/>
      <c r="AL67" s="81">
        <v>0</v>
      </c>
      <c r="AM67" s="51">
        <v>1</v>
      </c>
      <c r="AN67" s="80">
        <v>0</v>
      </c>
      <c r="AO67" s="51"/>
      <c r="AP67" s="80">
        <v>0</v>
      </c>
      <c r="AQ67" s="51"/>
      <c r="AR67" s="52">
        <v>0</v>
      </c>
      <c r="AS67" s="53"/>
    </row>
    <row r="68" spans="1:45" ht="12.75" customHeight="1">
      <c r="A68" s="101">
        <f t="shared" si="5"/>
        <v>54</v>
      </c>
      <c r="B68" s="102" t="s">
        <v>87</v>
      </c>
      <c r="C68" s="43" t="s">
        <v>94</v>
      </c>
      <c r="D68" s="44"/>
      <c r="E68" s="78"/>
      <c r="F68" s="79">
        <v>0</v>
      </c>
      <c r="G68" s="79"/>
      <c r="H68" s="80">
        <v>0</v>
      </c>
      <c r="I68" s="79"/>
      <c r="J68" s="81">
        <v>0</v>
      </c>
      <c r="K68" s="172"/>
      <c r="L68" s="80">
        <v>0</v>
      </c>
      <c r="M68" s="165"/>
      <c r="N68" s="81">
        <v>0</v>
      </c>
      <c r="O68" s="49">
        <v>1</v>
      </c>
      <c r="P68" s="81">
        <v>0</v>
      </c>
      <c r="Q68" s="84">
        <v>1</v>
      </c>
      <c r="R68" s="162"/>
      <c r="S68" s="79"/>
      <c r="T68" s="80">
        <v>0</v>
      </c>
      <c r="U68" s="79"/>
      <c r="V68" s="80">
        <v>0</v>
      </c>
      <c r="W68" s="79"/>
      <c r="X68" s="80"/>
      <c r="Y68" s="79"/>
      <c r="Z68" s="80"/>
      <c r="AA68" s="79">
        <v>1</v>
      </c>
      <c r="AB68" s="80"/>
      <c r="AC68" s="84"/>
      <c r="AD68" s="80">
        <v>0</v>
      </c>
      <c r="AE68" s="79"/>
      <c r="AF68" s="80">
        <v>0</v>
      </c>
      <c r="AG68" s="79"/>
      <c r="AH68" s="80">
        <v>0</v>
      </c>
      <c r="AI68" s="79"/>
      <c r="AJ68" s="80">
        <v>0</v>
      </c>
      <c r="AK68" s="79"/>
      <c r="AL68" s="81">
        <v>0</v>
      </c>
      <c r="AM68" s="51"/>
      <c r="AN68" s="80">
        <v>0</v>
      </c>
      <c r="AO68" s="51">
        <v>1</v>
      </c>
      <c r="AP68" s="80">
        <v>0</v>
      </c>
      <c r="AQ68" s="51"/>
      <c r="AR68" s="52">
        <v>0</v>
      </c>
      <c r="AS68" s="53"/>
    </row>
    <row r="69" spans="1:45" ht="12.75" customHeight="1">
      <c r="A69" s="61">
        <f t="shared" si="5"/>
        <v>55</v>
      </c>
      <c r="B69" s="62" t="s">
        <v>87</v>
      </c>
      <c r="C69" s="63" t="s">
        <v>95</v>
      </c>
      <c r="D69" s="64"/>
      <c r="E69" s="65"/>
      <c r="F69" s="66">
        <v>0</v>
      </c>
      <c r="G69" s="66"/>
      <c r="H69" s="67">
        <v>0</v>
      </c>
      <c r="I69" s="66"/>
      <c r="J69" s="68">
        <v>0</v>
      </c>
      <c r="K69" s="69">
        <v>1</v>
      </c>
      <c r="L69" s="67">
        <v>0</v>
      </c>
      <c r="M69" s="66"/>
      <c r="N69" s="68">
        <v>0</v>
      </c>
      <c r="O69" s="70">
        <v>1</v>
      </c>
      <c r="P69" s="68">
        <v>0</v>
      </c>
      <c r="Q69" s="70"/>
      <c r="R69" s="162"/>
      <c r="S69" s="66"/>
      <c r="T69" s="67">
        <v>0</v>
      </c>
      <c r="U69" s="66"/>
      <c r="V69" s="67">
        <v>0</v>
      </c>
      <c r="W69" s="66"/>
      <c r="X69" s="67"/>
      <c r="Y69" s="66"/>
      <c r="Z69" s="67"/>
      <c r="AA69" s="66"/>
      <c r="AB69" s="67"/>
      <c r="AC69" s="70"/>
      <c r="AD69" s="67">
        <v>0</v>
      </c>
      <c r="AE69" s="66"/>
      <c r="AF69" s="67">
        <v>0</v>
      </c>
      <c r="AG69" s="66"/>
      <c r="AH69" s="67">
        <v>0</v>
      </c>
      <c r="AI69" s="66"/>
      <c r="AJ69" s="67">
        <v>0</v>
      </c>
      <c r="AK69" s="66"/>
      <c r="AL69" s="68">
        <v>0</v>
      </c>
      <c r="AM69" s="65"/>
      <c r="AN69" s="67">
        <v>0</v>
      </c>
      <c r="AO69" s="66"/>
      <c r="AP69" s="67">
        <v>0</v>
      </c>
      <c r="AQ69" s="66"/>
      <c r="AR69" s="71">
        <v>0</v>
      </c>
      <c r="AS69" s="42"/>
    </row>
    <row r="70" spans="1:45" ht="12.75" customHeight="1">
      <c r="A70" s="104"/>
      <c r="B70" s="105"/>
      <c r="C70" s="28" t="s">
        <v>96</v>
      </c>
      <c r="D70" s="74"/>
      <c r="E70" s="30">
        <f>SUM(E71:E78)</f>
        <v>0</v>
      </c>
      <c r="F70" s="32">
        <f>E70*8/E$8</f>
        <v>0</v>
      </c>
      <c r="G70" s="32">
        <f>SUM(G71:G78)</f>
        <v>3</v>
      </c>
      <c r="H70" s="33">
        <v>1</v>
      </c>
      <c r="I70" s="32">
        <f>SUM(I71:I78)</f>
        <v>0</v>
      </c>
      <c r="J70" s="95">
        <f>I70*8/I$8</f>
        <v>0</v>
      </c>
      <c r="K70" s="35">
        <f>SUM(K71:K78)</f>
        <v>4</v>
      </c>
      <c r="L70" s="33">
        <v>1</v>
      </c>
      <c r="M70" s="32">
        <f>SUM(M71:M78)</f>
        <v>0</v>
      </c>
      <c r="N70" s="95">
        <f>M70*8/M$8</f>
        <v>0</v>
      </c>
      <c r="O70" s="36">
        <f>SUM(O71:O78)</f>
        <v>3</v>
      </c>
      <c r="P70" s="34">
        <v>1</v>
      </c>
      <c r="Q70" s="36">
        <f>SUM(Q71:Q78)</f>
        <v>1</v>
      </c>
      <c r="R70" s="163"/>
      <c r="S70" s="32">
        <f>SUM(S71:S78)</f>
        <v>2</v>
      </c>
      <c r="T70" s="33">
        <v>1</v>
      </c>
      <c r="U70" s="32">
        <f>SUM(U71:U78)</f>
        <v>1</v>
      </c>
      <c r="V70" s="33">
        <v>1</v>
      </c>
      <c r="W70" s="32">
        <f>SUM(W71:W78)</f>
        <v>3</v>
      </c>
      <c r="X70" s="37">
        <v>2</v>
      </c>
      <c r="Y70" s="32">
        <f>SUM(Y71:Y78)</f>
        <v>1</v>
      </c>
      <c r="Z70" s="33">
        <v>1</v>
      </c>
      <c r="AA70" s="32">
        <f>SUM(AA71:AA78)</f>
        <v>0</v>
      </c>
      <c r="AB70" s="76"/>
      <c r="AC70" s="36">
        <f>SUM(AC71:AC78)</f>
        <v>3</v>
      </c>
      <c r="AD70" s="33">
        <v>1</v>
      </c>
      <c r="AE70" s="32">
        <f>SUM(AE71:AE78)</f>
        <v>2</v>
      </c>
      <c r="AF70" s="106">
        <v>0</v>
      </c>
      <c r="AG70" s="32">
        <f>SUM(AG71:AG78)</f>
        <v>2</v>
      </c>
      <c r="AH70" s="33">
        <v>1</v>
      </c>
      <c r="AI70" s="32">
        <f>SUM(AI71:AI78)</f>
        <v>4</v>
      </c>
      <c r="AJ70" s="76">
        <f>AI70*8/AI$8</f>
        <v>0.96969696969696972</v>
      </c>
      <c r="AK70" s="32">
        <f>SUM(AK71:AK78)</f>
        <v>3</v>
      </c>
      <c r="AL70" s="34">
        <v>1</v>
      </c>
      <c r="AM70" s="30">
        <f>SUM(AM71:AM78)</f>
        <v>1</v>
      </c>
      <c r="AN70" s="33">
        <v>0</v>
      </c>
      <c r="AO70" s="32">
        <f>SUM(AO71:AO78)</f>
        <v>0</v>
      </c>
      <c r="AP70" s="76">
        <f>AO70*8/AO$8</f>
        <v>0</v>
      </c>
      <c r="AQ70" s="32">
        <f>SUM(AQ71:AQ78)</f>
        <v>0</v>
      </c>
      <c r="AR70" s="96">
        <f>AQ70*8/AQ$8</f>
        <v>0</v>
      </c>
      <c r="AS70" s="1"/>
    </row>
    <row r="71" spans="1:45" ht="12.75" customHeight="1">
      <c r="A71" s="85">
        <f>A69+1</f>
        <v>56</v>
      </c>
      <c r="B71" s="102" t="s">
        <v>96</v>
      </c>
      <c r="C71" s="43" t="s">
        <v>97</v>
      </c>
      <c r="D71" s="44"/>
      <c r="E71" s="78"/>
      <c r="F71" s="79">
        <v>0</v>
      </c>
      <c r="G71" s="79"/>
      <c r="H71" s="80">
        <v>0</v>
      </c>
      <c r="I71" s="79"/>
      <c r="J71" s="81">
        <v>0</v>
      </c>
      <c r="K71" s="170">
        <v>1</v>
      </c>
      <c r="L71" s="80">
        <v>0</v>
      </c>
      <c r="M71" s="79"/>
      <c r="N71" s="81">
        <v>0</v>
      </c>
      <c r="O71" s="49"/>
      <c r="P71" s="81">
        <v>0</v>
      </c>
      <c r="Q71" s="83">
        <v>1</v>
      </c>
      <c r="R71" s="50"/>
      <c r="S71" s="78"/>
      <c r="T71" s="80">
        <v>0</v>
      </c>
      <c r="U71" s="79"/>
      <c r="V71" s="80">
        <v>0</v>
      </c>
      <c r="W71" s="107">
        <v>1</v>
      </c>
      <c r="X71" s="50"/>
      <c r="Y71" s="78"/>
      <c r="Z71" s="80"/>
      <c r="AA71" s="79"/>
      <c r="AB71" s="80"/>
      <c r="AC71" s="84"/>
      <c r="AD71" s="80">
        <v>0</v>
      </c>
      <c r="AE71" s="79"/>
      <c r="AF71" s="80">
        <v>0</v>
      </c>
      <c r="AG71" s="79">
        <v>1</v>
      </c>
      <c r="AH71" s="80">
        <v>0</v>
      </c>
      <c r="AI71" s="79"/>
      <c r="AJ71" s="80">
        <v>0</v>
      </c>
      <c r="AK71" s="79"/>
      <c r="AL71" s="81">
        <v>0</v>
      </c>
      <c r="AM71" s="51"/>
      <c r="AN71" s="80">
        <v>0</v>
      </c>
      <c r="AO71" s="51"/>
      <c r="AP71" s="80">
        <v>0</v>
      </c>
      <c r="AQ71" s="51"/>
      <c r="AR71" s="52">
        <v>0</v>
      </c>
      <c r="AS71" s="53"/>
    </row>
    <row r="72" spans="1:45" ht="15" customHeight="1">
      <c r="A72" s="101">
        <f t="shared" ref="A72:A78" si="6">A71+1</f>
        <v>57</v>
      </c>
      <c r="B72" s="42" t="s">
        <v>96</v>
      </c>
      <c r="C72" s="43" t="s">
        <v>98</v>
      </c>
      <c r="D72" s="44"/>
      <c r="E72" s="78"/>
      <c r="F72" s="79">
        <v>0</v>
      </c>
      <c r="G72" s="79"/>
      <c r="H72" s="80">
        <v>0</v>
      </c>
      <c r="I72" s="79"/>
      <c r="J72" s="81">
        <v>0</v>
      </c>
      <c r="K72" s="171"/>
      <c r="L72" s="80">
        <v>0</v>
      </c>
      <c r="M72" s="79"/>
      <c r="N72" s="81">
        <v>0</v>
      </c>
      <c r="O72" s="49"/>
      <c r="P72" s="81">
        <v>0</v>
      </c>
      <c r="Q72" s="83"/>
      <c r="R72" s="50"/>
      <c r="S72" s="78"/>
      <c r="T72" s="80">
        <v>0</v>
      </c>
      <c r="U72" s="79"/>
      <c r="V72" s="80">
        <v>0</v>
      </c>
      <c r="W72" s="107"/>
      <c r="X72" s="50"/>
      <c r="Y72" s="78"/>
      <c r="Z72" s="80"/>
      <c r="AA72" s="79"/>
      <c r="AB72" s="80"/>
      <c r="AC72" s="84"/>
      <c r="AD72" s="80">
        <v>0</v>
      </c>
      <c r="AE72" s="79">
        <v>1</v>
      </c>
      <c r="AF72" s="80">
        <v>0</v>
      </c>
      <c r="AG72" s="79"/>
      <c r="AH72" s="80">
        <v>0</v>
      </c>
      <c r="AI72" s="79">
        <v>1</v>
      </c>
      <c r="AJ72" s="80">
        <v>0</v>
      </c>
      <c r="AK72" s="79"/>
      <c r="AL72" s="81">
        <v>0</v>
      </c>
      <c r="AM72" s="51"/>
      <c r="AN72" s="80">
        <v>0</v>
      </c>
      <c r="AO72" s="51"/>
      <c r="AP72" s="80">
        <v>0</v>
      </c>
      <c r="AQ72" s="51"/>
      <c r="AR72" s="52">
        <v>0</v>
      </c>
      <c r="AS72" s="53"/>
    </row>
    <row r="73" spans="1:45" ht="15" customHeight="1">
      <c r="A73" s="101">
        <f t="shared" si="6"/>
        <v>58</v>
      </c>
      <c r="B73" s="42" t="s">
        <v>96</v>
      </c>
      <c r="C73" s="43" t="s">
        <v>99</v>
      </c>
      <c r="D73" s="44"/>
      <c r="E73" s="78"/>
      <c r="F73" s="79">
        <v>0</v>
      </c>
      <c r="G73" s="79"/>
      <c r="H73" s="80">
        <v>0</v>
      </c>
      <c r="I73" s="79"/>
      <c r="J73" s="81">
        <v>0</v>
      </c>
      <c r="K73" s="172"/>
      <c r="L73" s="80">
        <v>0</v>
      </c>
      <c r="M73" s="79"/>
      <c r="N73" s="81">
        <v>0</v>
      </c>
      <c r="O73" s="49"/>
      <c r="P73" s="81">
        <v>0</v>
      </c>
      <c r="Q73" s="83"/>
      <c r="R73" s="50"/>
      <c r="S73" s="78"/>
      <c r="T73" s="80">
        <v>0</v>
      </c>
      <c r="U73" s="79"/>
      <c r="V73" s="80">
        <v>0</v>
      </c>
      <c r="W73" s="107">
        <v>1</v>
      </c>
      <c r="X73" s="50"/>
      <c r="Y73" s="78"/>
      <c r="Z73" s="80"/>
      <c r="AA73" s="79"/>
      <c r="AB73" s="80"/>
      <c r="AC73" s="84">
        <v>1</v>
      </c>
      <c r="AD73" s="80">
        <v>0</v>
      </c>
      <c r="AE73" s="79"/>
      <c r="AF73" s="80">
        <v>0</v>
      </c>
      <c r="AG73" s="79">
        <v>1</v>
      </c>
      <c r="AH73" s="80">
        <v>0</v>
      </c>
      <c r="AI73" s="79"/>
      <c r="AJ73" s="80">
        <v>0</v>
      </c>
      <c r="AK73" s="79">
        <v>1</v>
      </c>
      <c r="AL73" s="81">
        <v>0</v>
      </c>
      <c r="AM73" s="51"/>
      <c r="AN73" s="80">
        <v>0</v>
      </c>
      <c r="AO73" s="51"/>
      <c r="AP73" s="80">
        <v>0</v>
      </c>
      <c r="AQ73" s="51"/>
      <c r="AR73" s="52">
        <v>0</v>
      </c>
      <c r="AS73" s="53"/>
    </row>
    <row r="74" spans="1:45" ht="15" customHeight="1">
      <c r="A74" s="101">
        <f t="shared" si="6"/>
        <v>59</v>
      </c>
      <c r="B74" s="102" t="s">
        <v>96</v>
      </c>
      <c r="C74" s="43" t="s">
        <v>100</v>
      </c>
      <c r="D74" s="44"/>
      <c r="E74" s="78"/>
      <c r="F74" s="79">
        <v>0</v>
      </c>
      <c r="G74" s="79">
        <v>1</v>
      </c>
      <c r="H74" s="80">
        <v>0</v>
      </c>
      <c r="I74" s="79"/>
      <c r="J74" s="81">
        <v>0</v>
      </c>
      <c r="K74" s="82"/>
      <c r="L74" s="80">
        <v>0</v>
      </c>
      <c r="M74" s="79"/>
      <c r="N74" s="81">
        <v>0</v>
      </c>
      <c r="O74" s="173">
        <v>1</v>
      </c>
      <c r="P74" s="81">
        <v>0</v>
      </c>
      <c r="Q74" s="83"/>
      <c r="R74" s="50"/>
      <c r="S74" s="78">
        <v>1</v>
      </c>
      <c r="T74" s="80">
        <v>0</v>
      </c>
      <c r="U74" s="79"/>
      <c r="V74" s="80">
        <v>0</v>
      </c>
      <c r="W74" s="107"/>
      <c r="X74" s="50"/>
      <c r="Y74" s="78"/>
      <c r="Z74" s="80"/>
      <c r="AA74" s="79"/>
      <c r="AB74" s="80"/>
      <c r="AC74" s="84">
        <v>1</v>
      </c>
      <c r="AD74" s="80">
        <v>0</v>
      </c>
      <c r="AE74" s="79">
        <v>1</v>
      </c>
      <c r="AF74" s="80">
        <v>0</v>
      </c>
      <c r="AG74" s="79"/>
      <c r="AH74" s="80">
        <v>0</v>
      </c>
      <c r="AI74" s="79">
        <v>1</v>
      </c>
      <c r="AJ74" s="80">
        <v>0</v>
      </c>
      <c r="AK74" s="79"/>
      <c r="AL74" s="81">
        <v>0</v>
      </c>
      <c r="AM74" s="51">
        <v>1</v>
      </c>
      <c r="AN74" s="80">
        <v>0</v>
      </c>
      <c r="AO74" s="51"/>
      <c r="AP74" s="80">
        <v>0</v>
      </c>
      <c r="AQ74" s="51"/>
      <c r="AR74" s="52">
        <v>0</v>
      </c>
      <c r="AS74" s="53"/>
    </row>
    <row r="75" spans="1:45" ht="12.75" customHeight="1">
      <c r="A75" s="41">
        <f t="shared" si="6"/>
        <v>60</v>
      </c>
      <c r="B75" s="42" t="s">
        <v>96</v>
      </c>
      <c r="C75" s="43" t="s">
        <v>101</v>
      </c>
      <c r="D75" s="44"/>
      <c r="E75" s="78"/>
      <c r="F75" s="79">
        <v>0</v>
      </c>
      <c r="G75" s="79"/>
      <c r="H75" s="80">
        <v>0</v>
      </c>
      <c r="I75" s="79"/>
      <c r="J75" s="81">
        <v>0</v>
      </c>
      <c r="K75" s="82">
        <v>1</v>
      </c>
      <c r="L75" s="80">
        <v>0</v>
      </c>
      <c r="M75" s="79"/>
      <c r="N75" s="81">
        <v>0</v>
      </c>
      <c r="O75" s="175"/>
      <c r="P75" s="81">
        <v>0</v>
      </c>
      <c r="Q75" s="83"/>
      <c r="R75" s="50"/>
      <c r="S75" s="78"/>
      <c r="T75" s="80">
        <v>0</v>
      </c>
      <c r="U75" s="79"/>
      <c r="V75" s="80">
        <v>0</v>
      </c>
      <c r="W75" s="107"/>
      <c r="X75" s="50"/>
      <c r="Y75" s="78"/>
      <c r="Z75" s="80"/>
      <c r="AA75" s="79"/>
      <c r="AB75" s="80"/>
      <c r="AC75" s="84"/>
      <c r="AD75" s="80">
        <v>0</v>
      </c>
      <c r="AE75" s="79"/>
      <c r="AF75" s="80">
        <v>0</v>
      </c>
      <c r="AG75" s="79"/>
      <c r="AH75" s="80">
        <v>0</v>
      </c>
      <c r="AI75" s="79">
        <v>1</v>
      </c>
      <c r="AJ75" s="80">
        <v>0</v>
      </c>
      <c r="AK75" s="79"/>
      <c r="AL75" s="81">
        <v>0</v>
      </c>
      <c r="AM75" s="51"/>
      <c r="AN75" s="80">
        <v>0</v>
      </c>
      <c r="AO75" s="51"/>
      <c r="AP75" s="80">
        <v>0</v>
      </c>
      <c r="AQ75" s="51"/>
      <c r="AR75" s="52">
        <v>0</v>
      </c>
      <c r="AS75" s="53"/>
    </row>
    <row r="76" spans="1:45" ht="15" customHeight="1">
      <c r="A76" s="101">
        <f t="shared" si="6"/>
        <v>61</v>
      </c>
      <c r="B76" s="102" t="s">
        <v>96</v>
      </c>
      <c r="C76" s="43" t="s">
        <v>102</v>
      </c>
      <c r="D76" s="44"/>
      <c r="E76" s="78"/>
      <c r="F76" s="79">
        <v>0</v>
      </c>
      <c r="G76" s="79">
        <v>1</v>
      </c>
      <c r="H76" s="80">
        <v>0</v>
      </c>
      <c r="I76" s="79"/>
      <c r="J76" s="81">
        <v>0</v>
      </c>
      <c r="K76" s="170">
        <v>1</v>
      </c>
      <c r="L76" s="80">
        <v>0</v>
      </c>
      <c r="M76" s="79"/>
      <c r="N76" s="81">
        <v>0</v>
      </c>
      <c r="O76" s="49">
        <v>1</v>
      </c>
      <c r="P76" s="81">
        <v>0</v>
      </c>
      <c r="Q76" s="83"/>
      <c r="R76" s="50"/>
      <c r="S76" s="78"/>
      <c r="T76" s="80">
        <v>0</v>
      </c>
      <c r="U76" s="79"/>
      <c r="V76" s="80">
        <v>0</v>
      </c>
      <c r="W76" s="107"/>
      <c r="X76" s="50"/>
      <c r="Y76" s="78"/>
      <c r="Z76" s="80"/>
      <c r="AA76" s="79"/>
      <c r="AB76" s="80"/>
      <c r="AC76" s="84"/>
      <c r="AD76" s="80">
        <v>0</v>
      </c>
      <c r="AE76" s="79"/>
      <c r="AF76" s="80">
        <v>0</v>
      </c>
      <c r="AG76" s="79"/>
      <c r="AH76" s="80">
        <v>0</v>
      </c>
      <c r="AI76" s="79">
        <v>1</v>
      </c>
      <c r="AJ76" s="80">
        <v>0</v>
      </c>
      <c r="AK76" s="79">
        <v>1</v>
      </c>
      <c r="AL76" s="81">
        <v>0</v>
      </c>
      <c r="AM76" s="51"/>
      <c r="AN76" s="80">
        <v>0</v>
      </c>
      <c r="AO76" s="51"/>
      <c r="AP76" s="80">
        <v>0</v>
      </c>
      <c r="AQ76" s="51"/>
      <c r="AR76" s="52">
        <v>0</v>
      </c>
      <c r="AS76" s="53"/>
    </row>
    <row r="77" spans="1:45" ht="12.75" customHeight="1">
      <c r="A77" s="101">
        <f t="shared" si="6"/>
        <v>62</v>
      </c>
      <c r="B77" s="42" t="s">
        <v>96</v>
      </c>
      <c r="C77" s="103" t="s">
        <v>103</v>
      </c>
      <c r="D77" s="44"/>
      <c r="E77" s="78"/>
      <c r="F77" s="79">
        <v>0</v>
      </c>
      <c r="G77" s="79"/>
      <c r="H77" s="80">
        <v>0</v>
      </c>
      <c r="I77" s="79"/>
      <c r="J77" s="81">
        <v>0</v>
      </c>
      <c r="K77" s="172"/>
      <c r="L77" s="80">
        <v>0</v>
      </c>
      <c r="M77" s="79"/>
      <c r="N77" s="81">
        <v>0</v>
      </c>
      <c r="O77" s="49"/>
      <c r="P77" s="81">
        <v>0</v>
      </c>
      <c r="Q77" s="83"/>
      <c r="R77" s="50"/>
      <c r="S77" s="78">
        <v>1</v>
      </c>
      <c r="T77" s="80">
        <v>0</v>
      </c>
      <c r="U77" s="79">
        <v>1</v>
      </c>
      <c r="V77" s="80">
        <v>0</v>
      </c>
      <c r="W77" s="107">
        <v>1</v>
      </c>
      <c r="X77" s="50"/>
      <c r="Y77" s="78">
        <v>1</v>
      </c>
      <c r="Z77" s="80"/>
      <c r="AA77" s="79"/>
      <c r="AB77" s="80"/>
      <c r="AC77" s="84">
        <v>1</v>
      </c>
      <c r="AD77" s="80">
        <v>0</v>
      </c>
      <c r="AE77" s="79"/>
      <c r="AF77" s="80">
        <v>0</v>
      </c>
      <c r="AG77" s="79"/>
      <c r="AH77" s="80">
        <v>0</v>
      </c>
      <c r="AI77" s="79"/>
      <c r="AJ77" s="80">
        <v>0</v>
      </c>
      <c r="AK77" s="79">
        <v>1</v>
      </c>
      <c r="AL77" s="81">
        <v>0</v>
      </c>
      <c r="AM77" s="51"/>
      <c r="AN77" s="80">
        <v>0</v>
      </c>
      <c r="AO77" s="51"/>
      <c r="AP77" s="80">
        <v>0</v>
      </c>
      <c r="AQ77" s="51"/>
      <c r="AR77" s="52">
        <v>0</v>
      </c>
      <c r="AS77" s="53"/>
    </row>
    <row r="78" spans="1:45" ht="12.75" customHeight="1">
      <c r="A78" s="101">
        <f t="shared" si="6"/>
        <v>63</v>
      </c>
      <c r="B78" s="42" t="s">
        <v>96</v>
      </c>
      <c r="C78" s="43" t="s">
        <v>104</v>
      </c>
      <c r="D78" s="44"/>
      <c r="E78" s="78"/>
      <c r="F78" s="79">
        <v>0</v>
      </c>
      <c r="G78" s="79">
        <v>1</v>
      </c>
      <c r="H78" s="80">
        <v>0</v>
      </c>
      <c r="I78" s="79"/>
      <c r="J78" s="81">
        <v>0</v>
      </c>
      <c r="K78" s="82">
        <v>1</v>
      </c>
      <c r="L78" s="80">
        <v>0</v>
      </c>
      <c r="M78" s="79"/>
      <c r="N78" s="81">
        <v>0</v>
      </c>
      <c r="O78" s="49">
        <v>1</v>
      </c>
      <c r="P78" s="81">
        <v>0</v>
      </c>
      <c r="Q78" s="83"/>
      <c r="R78" s="50"/>
      <c r="S78" s="78"/>
      <c r="T78" s="80">
        <v>0</v>
      </c>
      <c r="U78" s="79"/>
      <c r="V78" s="80">
        <v>0</v>
      </c>
      <c r="W78" s="107"/>
      <c r="X78" s="50"/>
      <c r="Y78" s="78"/>
      <c r="Z78" s="80"/>
      <c r="AA78" s="79"/>
      <c r="AB78" s="80"/>
      <c r="AC78" s="84"/>
      <c r="AD78" s="80">
        <v>0</v>
      </c>
      <c r="AE78" s="79"/>
      <c r="AF78" s="80">
        <v>0</v>
      </c>
      <c r="AG78" s="79"/>
      <c r="AH78" s="80">
        <v>0</v>
      </c>
      <c r="AI78" s="79"/>
      <c r="AJ78" s="80">
        <v>0</v>
      </c>
      <c r="AK78" s="79"/>
      <c r="AL78" s="81">
        <v>0</v>
      </c>
      <c r="AM78" s="51"/>
      <c r="AN78" s="80">
        <v>0</v>
      </c>
      <c r="AO78" s="51"/>
      <c r="AP78" s="80">
        <v>0</v>
      </c>
      <c r="AQ78" s="51"/>
      <c r="AR78" s="52">
        <v>0</v>
      </c>
      <c r="AS78" s="53"/>
    </row>
    <row r="79" spans="1:45" ht="12.75" customHeight="1">
      <c r="A79" s="27"/>
      <c r="B79" s="28"/>
      <c r="C79" s="28" t="s">
        <v>105</v>
      </c>
      <c r="D79" s="29"/>
      <c r="E79" s="30">
        <f>SUM(E80:E86)</f>
        <v>0</v>
      </c>
      <c r="F79" s="32">
        <f>E79*8/E$8</f>
        <v>0</v>
      </c>
      <c r="G79" s="32">
        <f>SUM(G80:G86)</f>
        <v>1</v>
      </c>
      <c r="H79" s="33">
        <v>1</v>
      </c>
      <c r="I79" s="32">
        <f>SUM(I80:I86)</f>
        <v>1</v>
      </c>
      <c r="J79" s="34">
        <v>1</v>
      </c>
      <c r="K79" s="35">
        <f>SUM(K80:K86)</f>
        <v>4</v>
      </c>
      <c r="L79" s="33">
        <v>1</v>
      </c>
      <c r="M79" s="32">
        <f>SUM(M80:M86)</f>
        <v>2</v>
      </c>
      <c r="N79" s="34">
        <v>1</v>
      </c>
      <c r="O79" s="36">
        <f>SUM(O80:O86)</f>
        <v>5</v>
      </c>
      <c r="P79" s="34">
        <v>1</v>
      </c>
      <c r="Q79" s="36">
        <f>SUM(Q80:Q86)</f>
        <v>6</v>
      </c>
      <c r="R79" s="108">
        <v>2</v>
      </c>
      <c r="S79" s="32">
        <f>SUM(S80:S86)</f>
        <v>1</v>
      </c>
      <c r="T79" s="33">
        <v>1</v>
      </c>
      <c r="U79" s="32">
        <f>SUM(U80:U86)</f>
        <v>0</v>
      </c>
      <c r="V79" s="76"/>
      <c r="W79" s="32">
        <f>SUM(W80:W86)</f>
        <v>3</v>
      </c>
      <c r="X79" s="37">
        <v>2</v>
      </c>
      <c r="Y79" s="32">
        <f>SUM(Y80:Y86)</f>
        <v>3</v>
      </c>
      <c r="Z79" s="33">
        <v>3</v>
      </c>
      <c r="AA79" s="32">
        <f>SUM(AA80:AA86)</f>
        <v>1</v>
      </c>
      <c r="AB79" s="33">
        <v>1</v>
      </c>
      <c r="AC79" s="36">
        <f>SUM(AC80:AC86)</f>
        <v>2</v>
      </c>
      <c r="AD79" s="33">
        <v>1</v>
      </c>
      <c r="AE79" s="32">
        <f>SUM(AE80:AE86)</f>
        <v>8</v>
      </c>
      <c r="AF79" s="33">
        <v>2</v>
      </c>
      <c r="AG79" s="32">
        <f>SUM(AG80:AG86)</f>
        <v>1</v>
      </c>
      <c r="AH79" s="33">
        <v>1</v>
      </c>
      <c r="AI79" s="32">
        <f>SUM(AI80:AI86)</f>
        <v>4</v>
      </c>
      <c r="AJ79" s="76">
        <f>AI79*8/AI$8</f>
        <v>0.96969696969696972</v>
      </c>
      <c r="AK79" s="32">
        <f>SUM(AK80:AK86)</f>
        <v>1</v>
      </c>
      <c r="AL79" s="34"/>
      <c r="AM79" s="36">
        <f>SUM(AM80:AM86)</f>
        <v>3</v>
      </c>
      <c r="AN79" s="33">
        <v>1</v>
      </c>
      <c r="AO79" s="32">
        <f>SUM(AO80:AO86)</f>
        <v>2</v>
      </c>
      <c r="AP79" s="33">
        <v>1</v>
      </c>
      <c r="AQ79" s="32">
        <f>SUM(AQ80:AQ86)</f>
        <v>0</v>
      </c>
      <c r="AR79" s="96">
        <f>AQ79*8/AQ$8</f>
        <v>0</v>
      </c>
      <c r="AS79" s="40"/>
    </row>
    <row r="80" spans="1:45" ht="12.75" customHeight="1">
      <c r="A80" s="85">
        <f>A78+1</f>
        <v>64</v>
      </c>
      <c r="B80" s="109" t="s">
        <v>105</v>
      </c>
      <c r="C80" s="110" t="s">
        <v>106</v>
      </c>
      <c r="D80" s="111"/>
      <c r="E80" s="78"/>
      <c r="F80" s="79">
        <v>0</v>
      </c>
      <c r="G80" s="79"/>
      <c r="H80" s="79">
        <v>0</v>
      </c>
      <c r="I80" s="79"/>
      <c r="J80" s="112">
        <v>0</v>
      </c>
      <c r="K80" s="84"/>
      <c r="L80" s="79">
        <v>0</v>
      </c>
      <c r="M80" s="79"/>
      <c r="N80" s="112">
        <v>0</v>
      </c>
      <c r="O80" s="49">
        <v>1</v>
      </c>
      <c r="P80" s="113">
        <v>0</v>
      </c>
      <c r="Q80" s="84">
        <v>1</v>
      </c>
      <c r="R80" s="79">
        <v>0</v>
      </c>
      <c r="S80" s="79"/>
      <c r="T80" s="79">
        <v>0</v>
      </c>
      <c r="U80" s="79"/>
      <c r="V80" s="79">
        <v>0</v>
      </c>
      <c r="W80" s="79"/>
      <c r="X80" s="79">
        <v>0</v>
      </c>
      <c r="Y80" s="79"/>
      <c r="Z80" s="79">
        <v>0</v>
      </c>
      <c r="AA80" s="79"/>
      <c r="AB80" s="79">
        <v>0</v>
      </c>
      <c r="AC80" s="84"/>
      <c r="AD80" s="79">
        <v>0</v>
      </c>
      <c r="AE80" s="79"/>
      <c r="AF80" s="79">
        <v>0</v>
      </c>
      <c r="AG80" s="79"/>
      <c r="AH80" s="79">
        <v>0</v>
      </c>
      <c r="AI80" s="79">
        <v>1</v>
      </c>
      <c r="AJ80" s="79">
        <v>0</v>
      </c>
      <c r="AK80" s="79"/>
      <c r="AL80" s="112">
        <v>0</v>
      </c>
      <c r="AM80" s="83">
        <v>1</v>
      </c>
      <c r="AN80" s="79">
        <v>0</v>
      </c>
      <c r="AO80" s="51"/>
      <c r="AP80" s="79">
        <v>0</v>
      </c>
      <c r="AQ80" s="51"/>
      <c r="AR80" s="114">
        <v>0</v>
      </c>
      <c r="AS80" s="2"/>
    </row>
    <row r="81" spans="1:45" ht="12.75" customHeight="1">
      <c r="A81" s="115">
        <f t="shared" ref="A81:A86" si="7">A80+1</f>
        <v>65</v>
      </c>
      <c r="B81" s="109" t="s">
        <v>105</v>
      </c>
      <c r="C81" s="110" t="s">
        <v>107</v>
      </c>
      <c r="D81" s="111"/>
      <c r="E81" s="78"/>
      <c r="F81" s="79">
        <v>0</v>
      </c>
      <c r="G81" s="79"/>
      <c r="H81" s="79">
        <v>0</v>
      </c>
      <c r="I81" s="79"/>
      <c r="J81" s="112">
        <v>0</v>
      </c>
      <c r="K81" s="84">
        <v>1</v>
      </c>
      <c r="L81" s="79">
        <v>0</v>
      </c>
      <c r="M81" s="79"/>
      <c r="N81" s="112">
        <v>0</v>
      </c>
      <c r="O81" s="49"/>
      <c r="P81" s="113">
        <v>0</v>
      </c>
      <c r="Q81" s="84">
        <v>2</v>
      </c>
      <c r="R81" s="79">
        <v>0</v>
      </c>
      <c r="S81" s="79"/>
      <c r="T81" s="79">
        <v>0</v>
      </c>
      <c r="U81" s="79"/>
      <c r="V81" s="79">
        <v>0</v>
      </c>
      <c r="W81" s="79">
        <v>2</v>
      </c>
      <c r="X81" s="79">
        <v>0</v>
      </c>
      <c r="Y81" s="79">
        <v>1</v>
      </c>
      <c r="Z81" s="79">
        <v>0</v>
      </c>
      <c r="AA81" s="79"/>
      <c r="AB81" s="79">
        <v>0</v>
      </c>
      <c r="AC81" s="84">
        <v>1</v>
      </c>
      <c r="AD81" s="79">
        <v>0</v>
      </c>
      <c r="AE81" s="79">
        <v>2</v>
      </c>
      <c r="AF81" s="79">
        <v>0</v>
      </c>
      <c r="AG81" s="79">
        <v>1</v>
      </c>
      <c r="AH81" s="79">
        <v>0</v>
      </c>
      <c r="AI81" s="79"/>
      <c r="AJ81" s="79">
        <v>0</v>
      </c>
      <c r="AK81" s="79"/>
      <c r="AL81" s="112">
        <v>0</v>
      </c>
      <c r="AM81" s="83">
        <v>1</v>
      </c>
      <c r="AN81" s="79">
        <v>0</v>
      </c>
      <c r="AO81" s="51"/>
      <c r="AP81" s="79">
        <v>0</v>
      </c>
      <c r="AQ81" s="51"/>
      <c r="AR81" s="114">
        <v>0</v>
      </c>
      <c r="AS81" s="2"/>
    </row>
    <row r="82" spans="1:45" ht="12.75" customHeight="1">
      <c r="A82" s="115">
        <f t="shared" si="7"/>
        <v>66</v>
      </c>
      <c r="B82" s="109" t="s">
        <v>105</v>
      </c>
      <c r="C82" s="110" t="s">
        <v>108</v>
      </c>
      <c r="D82" s="111"/>
      <c r="E82" s="78"/>
      <c r="F82" s="79">
        <v>0</v>
      </c>
      <c r="G82" s="79"/>
      <c r="H82" s="79">
        <v>0</v>
      </c>
      <c r="I82" s="79"/>
      <c r="J82" s="112">
        <v>0</v>
      </c>
      <c r="K82" s="84"/>
      <c r="L82" s="79">
        <v>0</v>
      </c>
      <c r="M82" s="79"/>
      <c r="N82" s="112">
        <v>0</v>
      </c>
      <c r="O82" s="49">
        <v>1</v>
      </c>
      <c r="P82" s="113">
        <v>0</v>
      </c>
      <c r="Q82" s="84">
        <v>1</v>
      </c>
      <c r="R82" s="79">
        <v>0</v>
      </c>
      <c r="S82" s="79"/>
      <c r="T82" s="79">
        <v>0</v>
      </c>
      <c r="U82" s="79"/>
      <c r="V82" s="79">
        <v>0</v>
      </c>
      <c r="W82" s="79">
        <v>1</v>
      </c>
      <c r="X82" s="79">
        <v>0</v>
      </c>
      <c r="Y82" s="79"/>
      <c r="Z82" s="79">
        <v>0</v>
      </c>
      <c r="AA82" s="79"/>
      <c r="AB82" s="79">
        <v>0</v>
      </c>
      <c r="AC82" s="84"/>
      <c r="AD82" s="79">
        <v>0</v>
      </c>
      <c r="AE82" s="79"/>
      <c r="AF82" s="79">
        <v>0</v>
      </c>
      <c r="AG82" s="79"/>
      <c r="AH82" s="79">
        <v>0</v>
      </c>
      <c r="AI82" s="79">
        <v>1</v>
      </c>
      <c r="AJ82" s="79">
        <v>0</v>
      </c>
      <c r="AK82" s="79"/>
      <c r="AL82" s="112">
        <v>0</v>
      </c>
      <c r="AM82" s="83"/>
      <c r="AN82" s="79">
        <v>0</v>
      </c>
      <c r="AO82" s="51"/>
      <c r="AP82" s="79">
        <v>0</v>
      </c>
      <c r="AQ82" s="51"/>
      <c r="AR82" s="114">
        <v>0</v>
      </c>
      <c r="AS82" s="2"/>
    </row>
    <row r="83" spans="1:45" ht="12.75" customHeight="1">
      <c r="A83" s="116">
        <f t="shared" si="7"/>
        <v>67</v>
      </c>
      <c r="B83" s="117" t="s">
        <v>105</v>
      </c>
      <c r="C83" s="118" t="s">
        <v>109</v>
      </c>
      <c r="D83" s="111"/>
      <c r="E83" s="78"/>
      <c r="F83" s="79">
        <v>0</v>
      </c>
      <c r="G83" s="79">
        <v>1</v>
      </c>
      <c r="H83" s="79">
        <v>0</v>
      </c>
      <c r="I83" s="79"/>
      <c r="J83" s="112">
        <v>0</v>
      </c>
      <c r="K83" s="84">
        <v>1</v>
      </c>
      <c r="L83" s="79">
        <v>0</v>
      </c>
      <c r="M83" s="79">
        <v>1</v>
      </c>
      <c r="N83" s="112">
        <v>0</v>
      </c>
      <c r="O83" s="49">
        <v>1</v>
      </c>
      <c r="P83" s="113">
        <v>0</v>
      </c>
      <c r="Q83" s="84">
        <v>1</v>
      </c>
      <c r="R83" s="79">
        <v>0</v>
      </c>
      <c r="S83" s="79"/>
      <c r="T83" s="79">
        <v>0</v>
      </c>
      <c r="U83" s="79"/>
      <c r="V83" s="79">
        <v>0</v>
      </c>
      <c r="W83" s="79"/>
      <c r="X83" s="79">
        <v>0</v>
      </c>
      <c r="Y83" s="79"/>
      <c r="Z83" s="79">
        <v>0</v>
      </c>
      <c r="AA83" s="79"/>
      <c r="AB83" s="79">
        <v>0</v>
      </c>
      <c r="AC83" s="84">
        <v>1</v>
      </c>
      <c r="AD83" s="79">
        <v>0</v>
      </c>
      <c r="AE83" s="79">
        <v>1</v>
      </c>
      <c r="AF83" s="79">
        <v>0</v>
      </c>
      <c r="AG83" s="79"/>
      <c r="AH83" s="79">
        <v>0</v>
      </c>
      <c r="AI83" s="79">
        <v>1</v>
      </c>
      <c r="AJ83" s="79">
        <v>0</v>
      </c>
      <c r="AK83" s="79"/>
      <c r="AL83" s="112">
        <v>0</v>
      </c>
      <c r="AM83" s="83">
        <v>1</v>
      </c>
      <c r="AN83" s="79">
        <v>0</v>
      </c>
      <c r="AO83" s="51"/>
      <c r="AP83" s="79">
        <v>0</v>
      </c>
      <c r="AQ83" s="51"/>
      <c r="AR83" s="114">
        <v>0</v>
      </c>
      <c r="AS83" s="2"/>
    </row>
    <row r="84" spans="1:45" ht="12.75" customHeight="1">
      <c r="A84" s="119">
        <f t="shared" si="7"/>
        <v>68</v>
      </c>
      <c r="B84" s="120" t="s">
        <v>105</v>
      </c>
      <c r="C84" s="109" t="s">
        <v>110</v>
      </c>
      <c r="D84" s="111"/>
      <c r="E84" s="78"/>
      <c r="F84" s="79">
        <v>0</v>
      </c>
      <c r="G84" s="79"/>
      <c r="H84" s="79">
        <v>0</v>
      </c>
      <c r="I84" s="79"/>
      <c r="J84" s="112">
        <v>0</v>
      </c>
      <c r="K84" s="84">
        <v>1</v>
      </c>
      <c r="L84" s="79">
        <v>0</v>
      </c>
      <c r="M84" s="79"/>
      <c r="N84" s="112">
        <v>0</v>
      </c>
      <c r="O84" s="49">
        <v>1</v>
      </c>
      <c r="P84" s="113">
        <v>0</v>
      </c>
      <c r="Q84" s="84"/>
      <c r="R84" s="79">
        <v>0</v>
      </c>
      <c r="S84" s="79">
        <v>1</v>
      </c>
      <c r="T84" s="79">
        <v>0</v>
      </c>
      <c r="U84" s="79"/>
      <c r="V84" s="79">
        <v>0</v>
      </c>
      <c r="W84" s="79"/>
      <c r="X84" s="79">
        <v>0</v>
      </c>
      <c r="Y84" s="79">
        <v>1</v>
      </c>
      <c r="Z84" s="79">
        <v>0</v>
      </c>
      <c r="AA84" s="79"/>
      <c r="AB84" s="79">
        <v>0</v>
      </c>
      <c r="AC84" s="84"/>
      <c r="AD84" s="79">
        <v>0</v>
      </c>
      <c r="AE84" s="79">
        <v>1</v>
      </c>
      <c r="AF84" s="79">
        <v>0</v>
      </c>
      <c r="AG84" s="79"/>
      <c r="AH84" s="79">
        <v>0</v>
      </c>
      <c r="AI84" s="79"/>
      <c r="AJ84" s="79">
        <v>0</v>
      </c>
      <c r="AK84" s="79"/>
      <c r="AL84" s="112">
        <v>0</v>
      </c>
      <c r="AM84" s="83"/>
      <c r="AN84" s="79">
        <v>0</v>
      </c>
      <c r="AO84" s="51">
        <v>1</v>
      </c>
      <c r="AP84" s="79">
        <v>0</v>
      </c>
      <c r="AQ84" s="51"/>
      <c r="AR84" s="114">
        <v>0</v>
      </c>
      <c r="AS84" s="2"/>
    </row>
    <row r="85" spans="1:45" ht="12.75" customHeight="1">
      <c r="A85" s="115">
        <f t="shared" si="7"/>
        <v>69</v>
      </c>
      <c r="B85" s="109" t="s">
        <v>105</v>
      </c>
      <c r="C85" s="110" t="s">
        <v>111</v>
      </c>
      <c r="D85" s="111"/>
      <c r="E85" s="78"/>
      <c r="F85" s="79">
        <v>0</v>
      </c>
      <c r="G85" s="79"/>
      <c r="H85" s="79">
        <v>0</v>
      </c>
      <c r="I85" s="79">
        <v>1</v>
      </c>
      <c r="J85" s="112">
        <v>0</v>
      </c>
      <c r="K85" s="189">
        <v>1</v>
      </c>
      <c r="L85" s="79">
        <v>0</v>
      </c>
      <c r="M85" s="164">
        <v>1</v>
      </c>
      <c r="N85" s="112">
        <v>0</v>
      </c>
      <c r="O85" s="49">
        <v>1</v>
      </c>
      <c r="P85" s="113">
        <v>0</v>
      </c>
      <c r="Q85" s="84"/>
      <c r="R85" s="79">
        <v>0</v>
      </c>
      <c r="S85" s="79"/>
      <c r="T85" s="79">
        <v>0</v>
      </c>
      <c r="U85" s="79"/>
      <c r="V85" s="79">
        <v>0</v>
      </c>
      <c r="W85" s="79"/>
      <c r="X85" s="79">
        <v>0</v>
      </c>
      <c r="Y85" s="79">
        <v>1</v>
      </c>
      <c r="Z85" s="79">
        <v>0</v>
      </c>
      <c r="AA85" s="79">
        <v>1</v>
      </c>
      <c r="AB85" s="79">
        <v>0</v>
      </c>
      <c r="AC85" s="84"/>
      <c r="AD85" s="79">
        <v>0</v>
      </c>
      <c r="AE85" s="79">
        <v>4</v>
      </c>
      <c r="AF85" s="79">
        <v>0</v>
      </c>
      <c r="AG85" s="79"/>
      <c r="AH85" s="79">
        <v>0</v>
      </c>
      <c r="AI85" s="79">
        <v>1</v>
      </c>
      <c r="AJ85" s="79">
        <v>0</v>
      </c>
      <c r="AK85" s="79">
        <v>1</v>
      </c>
      <c r="AL85" s="112">
        <v>0</v>
      </c>
      <c r="AM85" s="83"/>
      <c r="AN85" s="79">
        <v>0</v>
      </c>
      <c r="AO85" s="51"/>
      <c r="AP85" s="79">
        <v>0</v>
      </c>
      <c r="AQ85" s="51"/>
      <c r="AR85" s="114">
        <v>0</v>
      </c>
      <c r="AS85" s="2"/>
    </row>
    <row r="86" spans="1:45" ht="15.75" customHeight="1">
      <c r="A86" s="122">
        <f t="shared" si="7"/>
        <v>70</v>
      </c>
      <c r="B86" s="123" t="s">
        <v>105</v>
      </c>
      <c r="C86" s="124" t="s">
        <v>112</v>
      </c>
      <c r="D86" s="125"/>
      <c r="E86" s="126"/>
      <c r="F86" s="91">
        <v>0</v>
      </c>
      <c r="G86" s="91"/>
      <c r="H86" s="91">
        <v>0</v>
      </c>
      <c r="I86" s="91"/>
      <c r="J86" s="127">
        <v>0</v>
      </c>
      <c r="K86" s="190"/>
      <c r="L86" s="91">
        <v>0</v>
      </c>
      <c r="M86" s="191"/>
      <c r="N86" s="127">
        <v>0</v>
      </c>
      <c r="O86" s="58"/>
      <c r="P86" s="128">
        <v>0</v>
      </c>
      <c r="Q86" s="121">
        <v>1</v>
      </c>
      <c r="R86" s="91">
        <v>0</v>
      </c>
      <c r="S86" s="91"/>
      <c r="T86" s="91">
        <v>0</v>
      </c>
      <c r="U86" s="91"/>
      <c r="V86" s="91">
        <v>0</v>
      </c>
      <c r="W86" s="91"/>
      <c r="X86" s="91">
        <v>0</v>
      </c>
      <c r="Y86" s="91"/>
      <c r="Z86" s="91">
        <v>0</v>
      </c>
      <c r="AA86" s="91"/>
      <c r="AB86" s="91">
        <v>0</v>
      </c>
      <c r="AC86" s="121"/>
      <c r="AD86" s="91">
        <v>0</v>
      </c>
      <c r="AE86" s="91"/>
      <c r="AF86" s="91">
        <v>0</v>
      </c>
      <c r="AG86" s="91"/>
      <c r="AH86" s="91">
        <v>0</v>
      </c>
      <c r="AI86" s="91"/>
      <c r="AJ86" s="91">
        <v>0</v>
      </c>
      <c r="AK86" s="91"/>
      <c r="AL86" s="127">
        <v>0</v>
      </c>
      <c r="AM86" s="129"/>
      <c r="AN86" s="91">
        <v>0</v>
      </c>
      <c r="AO86" s="92">
        <v>1</v>
      </c>
      <c r="AP86" s="91">
        <v>0</v>
      </c>
      <c r="AQ86" s="92"/>
      <c r="AR86" s="130">
        <v>0</v>
      </c>
      <c r="AS86" s="2"/>
    </row>
    <row r="87" spans="1:45" ht="12.75" customHeight="1">
      <c r="A87" s="131"/>
      <c r="B87" s="131"/>
      <c r="C87" s="132" t="s">
        <v>113</v>
      </c>
      <c r="D87" s="131"/>
      <c r="E87" s="133"/>
      <c r="F87" s="133">
        <f>SUM(F9:F79)</f>
        <v>7</v>
      </c>
      <c r="G87" s="133"/>
      <c r="H87" s="133">
        <f>SUM(H9:H79)</f>
        <v>8</v>
      </c>
      <c r="I87" s="133"/>
      <c r="J87" s="133">
        <f>SUM(J9:J79)</f>
        <v>8</v>
      </c>
      <c r="K87" s="133"/>
      <c r="L87" s="133">
        <f>SUM(L9:L79)</f>
        <v>8</v>
      </c>
      <c r="M87" s="133"/>
      <c r="N87" s="133">
        <f>SUM(N9:N79)</f>
        <v>7</v>
      </c>
      <c r="O87" s="133"/>
      <c r="P87" s="133">
        <f>SUM(P9:P79)</f>
        <v>8</v>
      </c>
      <c r="Q87" s="133"/>
      <c r="R87" s="133">
        <f>SUM(R9:R79)</f>
        <v>11</v>
      </c>
      <c r="S87" s="133"/>
      <c r="T87" s="133">
        <f>SUM(T9:T79)</f>
        <v>10</v>
      </c>
      <c r="U87" s="133"/>
      <c r="V87" s="133">
        <f>SUM(V9:V79)</f>
        <v>9</v>
      </c>
      <c r="W87" s="133"/>
      <c r="X87" s="133">
        <f>SUM(X9:X79)</f>
        <v>10</v>
      </c>
      <c r="Y87" s="133"/>
      <c r="Z87" s="134">
        <v>11</v>
      </c>
      <c r="AA87" s="133"/>
      <c r="AB87" s="133">
        <f>SUM(AB9:AB79)</f>
        <v>9</v>
      </c>
      <c r="AC87" s="133"/>
      <c r="AD87" s="133">
        <f>SUM(AD9:AD79)</f>
        <v>8</v>
      </c>
      <c r="AE87" s="133"/>
      <c r="AF87" s="133">
        <f>SUM(AF9:AF79)</f>
        <v>8</v>
      </c>
      <c r="AG87" s="133"/>
      <c r="AH87" s="133">
        <f>SUM(AH9:AH79)</f>
        <v>8</v>
      </c>
      <c r="AI87" s="133"/>
      <c r="AJ87" s="133">
        <f>SUM(AJ9:AJ79)</f>
        <v>7.9393939393939394</v>
      </c>
      <c r="AK87" s="133"/>
      <c r="AL87" s="133">
        <f>SUM(AL9:AL79)</f>
        <v>8</v>
      </c>
      <c r="AM87" s="133"/>
      <c r="AN87" s="133">
        <f>SUM(AN9:AN79)</f>
        <v>8</v>
      </c>
      <c r="AO87" s="133"/>
      <c r="AP87" s="133">
        <f>SUM(AP9:AP79)</f>
        <v>8</v>
      </c>
      <c r="AQ87" s="133"/>
      <c r="AR87" s="133">
        <f>SUM(AR9:AR79)</f>
        <v>8</v>
      </c>
      <c r="AS87" s="135"/>
    </row>
    <row r="88" spans="1:45" ht="12.75" customHeight="1">
      <c r="A88" s="136"/>
      <c r="B88" s="136"/>
      <c r="C88" s="137"/>
      <c r="D88" s="137"/>
      <c r="E88" s="138"/>
      <c r="F88" s="138"/>
      <c r="G88" s="138"/>
      <c r="H88" s="138"/>
      <c r="I88" s="138"/>
      <c r="J88" s="138"/>
      <c r="K88" s="139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  <c r="AK88" s="138"/>
      <c r="AL88" s="138"/>
      <c r="AM88" s="138"/>
      <c r="AN88" s="138"/>
      <c r="AO88" s="138"/>
      <c r="AP88" s="138"/>
      <c r="AQ88" s="138"/>
      <c r="AR88" s="138"/>
      <c r="AS88" s="2"/>
    </row>
    <row r="89" spans="1:45" ht="225" customHeight="1">
      <c r="A89" s="140"/>
      <c r="B89" s="140"/>
      <c r="C89" s="140"/>
      <c r="D89" s="140"/>
      <c r="E89" s="185" t="s">
        <v>114</v>
      </c>
      <c r="F89" s="186"/>
      <c r="G89" s="185" t="s">
        <v>115</v>
      </c>
      <c r="H89" s="186"/>
      <c r="I89" s="185" t="s">
        <v>116</v>
      </c>
      <c r="J89" s="186"/>
      <c r="K89" s="185" t="s">
        <v>117</v>
      </c>
      <c r="L89" s="186"/>
      <c r="M89" s="188" t="s">
        <v>118</v>
      </c>
      <c r="N89" s="186"/>
      <c r="O89" s="188" t="s">
        <v>119</v>
      </c>
      <c r="P89" s="186"/>
      <c r="Q89" s="187" t="s">
        <v>120</v>
      </c>
      <c r="R89" s="186"/>
      <c r="S89" s="187" t="s">
        <v>121</v>
      </c>
      <c r="T89" s="186"/>
      <c r="U89" s="187" t="s">
        <v>122</v>
      </c>
      <c r="V89" s="186"/>
      <c r="W89" s="187" t="s">
        <v>123</v>
      </c>
      <c r="X89" s="186"/>
      <c r="Y89" s="187" t="s">
        <v>124</v>
      </c>
      <c r="Z89" s="186"/>
      <c r="AA89" s="187" t="s">
        <v>122</v>
      </c>
      <c r="AB89" s="186"/>
      <c r="AC89" s="188" t="s">
        <v>125</v>
      </c>
      <c r="AD89" s="186"/>
      <c r="AE89" s="188" t="s">
        <v>126</v>
      </c>
      <c r="AF89" s="186"/>
      <c r="AG89" s="188" t="s">
        <v>127</v>
      </c>
      <c r="AH89" s="186"/>
      <c r="AI89" s="188" t="s">
        <v>127</v>
      </c>
      <c r="AJ89" s="186"/>
      <c r="AK89" s="188" t="s">
        <v>128</v>
      </c>
      <c r="AL89" s="186"/>
      <c r="AM89" s="185" t="s">
        <v>129</v>
      </c>
      <c r="AN89" s="186"/>
      <c r="AO89" s="185" t="s">
        <v>130</v>
      </c>
      <c r="AP89" s="186"/>
      <c r="AQ89" s="185" t="s">
        <v>131</v>
      </c>
      <c r="AR89" s="186"/>
      <c r="AS89" s="141"/>
    </row>
    <row r="90" spans="1:45" ht="12.75" customHeight="1">
      <c r="A90" s="3"/>
      <c r="B90" s="3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142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142" t="s">
        <v>132</v>
      </c>
      <c r="AM90" s="3"/>
      <c r="AN90" s="3"/>
      <c r="AO90" s="3"/>
      <c r="AP90" s="3"/>
      <c r="AQ90" s="3"/>
      <c r="AR90" s="3"/>
      <c r="AS90" s="2"/>
    </row>
    <row r="91" spans="1:45" ht="12.75" customHeight="1">
      <c r="A91" s="135"/>
      <c r="B91" s="135"/>
      <c r="C91" s="40" t="s">
        <v>133</v>
      </c>
      <c r="D91" s="40" t="s">
        <v>134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142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2"/>
    </row>
    <row r="92" spans="1:45" ht="12.75" customHeight="1">
      <c r="A92" s="3"/>
      <c r="B92" s="3"/>
      <c r="C92" s="2" t="s">
        <v>135</v>
      </c>
      <c r="D92" s="143">
        <v>1001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142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2"/>
    </row>
    <row r="93" spans="1:45" ht="12.75" customHeight="1">
      <c r="A93" s="3"/>
      <c r="B93" s="3"/>
      <c r="C93" s="2" t="s">
        <v>136</v>
      </c>
      <c r="D93" s="143">
        <v>1390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2"/>
    </row>
    <row r="94" spans="1:45" ht="12.75" customHeight="1">
      <c r="A94" s="3"/>
      <c r="B94" s="3"/>
      <c r="C94" s="2" t="s">
        <v>137</v>
      </c>
      <c r="D94" s="143">
        <v>1532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2"/>
    </row>
    <row r="95" spans="1:45" ht="12.75" customHeight="1">
      <c r="A95" s="3"/>
      <c r="B95" s="3"/>
      <c r="C95" s="2"/>
      <c r="D95" s="2"/>
      <c r="E95" s="3"/>
      <c r="F95" s="3"/>
      <c r="G95" s="3"/>
      <c r="H95" s="3"/>
      <c r="I95" s="3"/>
      <c r="J95" s="3"/>
      <c r="K95" s="3" t="s">
        <v>138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2"/>
    </row>
    <row r="96" spans="1:45" ht="12.75" customHeight="1">
      <c r="A96" s="3"/>
      <c r="B96" s="3"/>
      <c r="C96" s="2" t="s">
        <v>139</v>
      </c>
      <c r="D96" s="2">
        <v>4</v>
      </c>
      <c r="E96" s="144"/>
      <c r="F96" s="3"/>
      <c r="G96" s="3"/>
      <c r="H96" s="3"/>
      <c r="I96" s="3"/>
      <c r="J96" s="3"/>
      <c r="K96" s="3" t="s">
        <v>140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2"/>
    </row>
    <row r="97" spans="1:45" ht="12.75" customHeight="1">
      <c r="A97" s="3"/>
      <c r="B97" s="3"/>
      <c r="C97" s="2" t="s">
        <v>141</v>
      </c>
      <c r="D97" s="2">
        <v>3</v>
      </c>
      <c r="E97" s="145"/>
      <c r="F97" s="3"/>
      <c r="G97" s="3"/>
      <c r="H97" s="3"/>
      <c r="I97" s="3"/>
      <c r="J97" s="3"/>
      <c r="K97" s="3" t="s">
        <v>142</v>
      </c>
      <c r="L97" s="3" t="s">
        <v>143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2"/>
    </row>
    <row r="98" spans="1:45" ht="12.75" customHeight="1">
      <c r="A98" s="3"/>
      <c r="B98" s="3"/>
      <c r="C98" s="2" t="s">
        <v>144</v>
      </c>
      <c r="D98" s="2">
        <v>4</v>
      </c>
      <c r="E98" s="146"/>
      <c r="F98" s="3"/>
      <c r="G98" s="3"/>
      <c r="H98" s="3"/>
      <c r="I98" s="3"/>
      <c r="J98" s="3"/>
      <c r="K98" s="3" t="s">
        <v>145</v>
      </c>
      <c r="L98" s="3" t="s">
        <v>146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2"/>
    </row>
    <row r="99" spans="1:45" ht="12.75" customHeight="1">
      <c r="A99" s="3"/>
      <c r="B99" s="3"/>
      <c r="C99" s="2" t="s">
        <v>147</v>
      </c>
      <c r="D99" s="2">
        <v>6</v>
      </c>
      <c r="E99" s="147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2"/>
    </row>
    <row r="100" spans="1:45" ht="12.75" customHeight="1">
      <c r="A100" s="3"/>
      <c r="B100" s="3"/>
      <c r="C100" s="2" t="s">
        <v>148</v>
      </c>
      <c r="D100" s="2">
        <v>7</v>
      </c>
      <c r="E100" s="148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2"/>
    </row>
    <row r="101" spans="1:45" ht="12.75" customHeight="1">
      <c r="A101" s="3"/>
      <c r="B101" s="3"/>
      <c r="C101" s="2" t="s">
        <v>149</v>
      </c>
      <c r="D101" s="2" t="s">
        <v>150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2"/>
    </row>
    <row r="102" spans="1:45" ht="12.75" customHeight="1">
      <c r="A102" s="3"/>
      <c r="B102" s="3"/>
      <c r="C102" s="2" t="s">
        <v>151</v>
      </c>
      <c r="D102" s="2" t="s">
        <v>152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2"/>
    </row>
    <row r="103" spans="1:45" ht="12.75" customHeight="1">
      <c r="A103" s="3"/>
      <c r="B103" s="3"/>
      <c r="C103" s="2"/>
      <c r="D103" s="2" t="s">
        <v>153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2"/>
    </row>
    <row r="104" spans="1:45" ht="12.75" customHeight="1">
      <c r="A104" s="3"/>
      <c r="B104" s="3"/>
      <c r="C104" s="2"/>
      <c r="D104" s="2" t="s">
        <v>154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2"/>
    </row>
    <row r="105" spans="1:45" ht="12.75" customHeight="1">
      <c r="A105" s="3"/>
      <c r="B105" s="3"/>
      <c r="C105" s="2"/>
      <c r="D105" s="2" t="s">
        <v>155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2"/>
    </row>
    <row r="106" spans="1:45" ht="12.75" customHeight="1">
      <c r="A106" s="3"/>
      <c r="B106" s="3"/>
      <c r="C106" s="2"/>
      <c r="D106" s="2" t="s">
        <v>156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2"/>
    </row>
    <row r="107" spans="1:45" ht="12.75" customHeight="1">
      <c r="A107" s="3"/>
      <c r="B107" s="3"/>
      <c r="C107" s="2" t="s">
        <v>157</v>
      </c>
      <c r="D107" s="2" t="s">
        <v>158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2"/>
    </row>
    <row r="108" spans="1:45" ht="12.75" customHeight="1">
      <c r="A108" s="3"/>
      <c r="B108" s="3"/>
      <c r="C108" s="2" t="s">
        <v>159</v>
      </c>
      <c r="D108" s="2" t="s">
        <v>160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2"/>
    </row>
    <row r="109" spans="1:45" ht="12.75" customHeight="1">
      <c r="A109" s="3"/>
      <c r="B109" s="3"/>
      <c r="C109" s="2" t="s">
        <v>161</v>
      </c>
      <c r="D109" s="2" t="s">
        <v>162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149"/>
      <c r="P109" s="149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149"/>
      <c r="AN109" s="149"/>
      <c r="AO109" s="149"/>
      <c r="AP109" s="149"/>
      <c r="AQ109" s="149"/>
      <c r="AR109" s="149"/>
      <c r="AS109" s="150"/>
    </row>
    <row r="110" spans="1:45" ht="12.75" customHeight="1">
      <c r="A110" s="3"/>
      <c r="B110" s="3"/>
      <c r="C110" s="2" t="s">
        <v>163</v>
      </c>
      <c r="D110" s="2" t="s">
        <v>164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2"/>
    </row>
    <row r="111" spans="1:45" ht="12.75" customHeight="1">
      <c r="A111" s="3"/>
      <c r="B111" s="3"/>
      <c r="C111" s="2" t="s">
        <v>165</v>
      </c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2"/>
    </row>
    <row r="112" spans="1:45" ht="12.75" customHeight="1">
      <c r="A112" s="3"/>
      <c r="B112" s="3"/>
      <c r="C112" s="2" t="s">
        <v>166</v>
      </c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2"/>
    </row>
    <row r="113" spans="1:45" ht="12.75" customHeight="1">
      <c r="A113" s="3"/>
      <c r="B113" s="3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2"/>
    </row>
    <row r="114" spans="1:45" ht="12.75" customHeight="1">
      <c r="A114" s="3"/>
      <c r="B114" s="3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2"/>
    </row>
    <row r="115" spans="1:45" ht="12.75" customHeight="1">
      <c r="A115" s="3"/>
      <c r="B115" s="3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2"/>
    </row>
    <row r="116" spans="1:45" ht="12.75" customHeight="1">
      <c r="A116" s="3"/>
      <c r="B116" s="3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2"/>
    </row>
    <row r="117" spans="1:45" ht="12.75" customHeight="1">
      <c r="A117" s="3"/>
      <c r="B117" s="3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2"/>
    </row>
    <row r="118" spans="1:45" ht="12.75" customHeight="1">
      <c r="A118" s="3"/>
      <c r="B118" s="3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2"/>
    </row>
    <row r="119" spans="1:45" ht="12.75" customHeight="1">
      <c r="A119" s="3"/>
      <c r="B119" s="3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2"/>
    </row>
    <row r="120" spans="1:45" ht="12.75" customHeight="1">
      <c r="A120" s="3"/>
      <c r="B120" s="3"/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2"/>
    </row>
    <row r="121" spans="1:45" ht="12.75" customHeight="1">
      <c r="A121" s="3"/>
      <c r="B121" s="3"/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2"/>
    </row>
    <row r="122" spans="1:45" ht="12.75" customHeight="1">
      <c r="A122" s="3"/>
      <c r="B122" s="3"/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2"/>
    </row>
    <row r="123" spans="1:45" ht="12.75" customHeight="1">
      <c r="A123" s="3"/>
      <c r="B123" s="3"/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2"/>
    </row>
    <row r="124" spans="1:45" ht="12.75" customHeight="1">
      <c r="A124" s="3"/>
      <c r="B124" s="3"/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2"/>
    </row>
    <row r="125" spans="1:45" ht="12.75" customHeight="1">
      <c r="A125" s="3"/>
      <c r="B125" s="3"/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2"/>
    </row>
    <row r="126" spans="1:45" ht="12.75" customHeight="1">
      <c r="A126" s="3"/>
      <c r="B126" s="3"/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2"/>
    </row>
    <row r="127" spans="1:45" ht="12.75" customHeight="1">
      <c r="A127" s="3"/>
      <c r="B127" s="3"/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2"/>
    </row>
    <row r="128" spans="1:45" ht="12.75" customHeight="1">
      <c r="A128" s="3"/>
      <c r="B128" s="3"/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2"/>
    </row>
    <row r="129" spans="1:45" ht="12.75" customHeight="1">
      <c r="A129" s="3"/>
      <c r="B129" s="3"/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2"/>
    </row>
    <row r="130" spans="1:45" ht="12.75" customHeight="1">
      <c r="A130" s="3"/>
      <c r="B130" s="3"/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2"/>
    </row>
    <row r="131" spans="1:45" ht="12.75" customHeight="1">
      <c r="A131" s="3"/>
      <c r="B131" s="3"/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2"/>
    </row>
    <row r="132" spans="1:45" ht="12.75" customHeight="1">
      <c r="A132" s="3"/>
      <c r="B132" s="3"/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2"/>
    </row>
    <row r="133" spans="1:45" ht="12.75" customHeight="1">
      <c r="A133" s="3"/>
      <c r="B133" s="3"/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2"/>
    </row>
    <row r="134" spans="1:45" ht="12.75" customHeight="1">
      <c r="A134" s="3"/>
      <c r="B134" s="3"/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2"/>
    </row>
    <row r="135" spans="1:45" ht="12.75" customHeight="1">
      <c r="A135" s="3"/>
      <c r="B135" s="3"/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2"/>
    </row>
    <row r="136" spans="1:45" ht="12.75" customHeight="1">
      <c r="A136" s="3"/>
      <c r="B136" s="3"/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2"/>
    </row>
    <row r="137" spans="1:45" ht="12.75" customHeight="1">
      <c r="A137" s="3"/>
      <c r="B137" s="3"/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2"/>
    </row>
    <row r="138" spans="1:45" ht="12.75" customHeight="1">
      <c r="A138" s="3"/>
      <c r="B138" s="3"/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2"/>
    </row>
    <row r="139" spans="1:45" ht="12.75" customHeight="1">
      <c r="A139" s="3"/>
      <c r="B139" s="3"/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2"/>
    </row>
    <row r="140" spans="1:45" ht="12.75" customHeight="1">
      <c r="A140" s="3"/>
      <c r="B140" s="3"/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2"/>
    </row>
    <row r="141" spans="1:45" ht="12.75" customHeight="1">
      <c r="A141" s="3"/>
      <c r="B141" s="3"/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2"/>
    </row>
    <row r="142" spans="1:45" ht="12.75" customHeight="1">
      <c r="A142" s="3"/>
      <c r="B142" s="3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2"/>
    </row>
    <row r="143" spans="1:45" ht="12.75" customHeight="1">
      <c r="A143" s="3"/>
      <c r="B143" s="3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2"/>
    </row>
    <row r="144" spans="1:45" ht="12.75" customHeight="1">
      <c r="A144" s="3"/>
      <c r="B144" s="3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2"/>
    </row>
    <row r="145" spans="1:45" ht="12.75" customHeight="1">
      <c r="A145" s="3"/>
      <c r="B145" s="3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2"/>
    </row>
    <row r="146" spans="1:45" ht="12.75" customHeight="1">
      <c r="A146" s="3"/>
      <c r="B146" s="3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2"/>
    </row>
    <row r="147" spans="1:45" ht="12.75" customHeight="1">
      <c r="A147" s="3"/>
      <c r="B147" s="3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2"/>
    </row>
    <row r="148" spans="1:45" ht="12.75" customHeight="1">
      <c r="A148" s="3"/>
      <c r="B148" s="3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2"/>
    </row>
    <row r="149" spans="1:45" ht="12.75" customHeight="1">
      <c r="A149" s="3"/>
      <c r="B149" s="3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2"/>
    </row>
    <row r="150" spans="1:45" ht="12.75" customHeight="1">
      <c r="A150" s="3"/>
      <c r="B150" s="3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2"/>
    </row>
    <row r="151" spans="1:45" ht="12.75" customHeight="1">
      <c r="A151" s="3"/>
      <c r="B151" s="3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2"/>
    </row>
    <row r="152" spans="1:45" ht="12.75" customHeight="1">
      <c r="A152" s="3"/>
      <c r="B152" s="3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2"/>
    </row>
    <row r="153" spans="1:45" ht="12.75" customHeight="1">
      <c r="A153" s="3"/>
      <c r="B153" s="3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2"/>
    </row>
    <row r="154" spans="1:45" ht="12.75" customHeight="1">
      <c r="A154" s="3"/>
      <c r="B154" s="3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2"/>
    </row>
    <row r="155" spans="1:45" ht="12.75" customHeight="1">
      <c r="A155" s="3"/>
      <c r="B155" s="3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2"/>
    </row>
    <row r="156" spans="1:45" ht="12.75" customHeight="1">
      <c r="A156" s="3"/>
      <c r="B156" s="3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2"/>
    </row>
    <row r="157" spans="1:45" ht="12.75" customHeight="1">
      <c r="A157" s="3"/>
      <c r="B157" s="3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2"/>
    </row>
    <row r="158" spans="1:45" ht="12.75" customHeight="1">
      <c r="A158" s="3"/>
      <c r="B158" s="3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2"/>
    </row>
    <row r="159" spans="1:45" ht="12.75" customHeight="1">
      <c r="A159" s="3"/>
      <c r="B159" s="3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2"/>
    </row>
    <row r="160" spans="1:45" ht="12.75" customHeight="1">
      <c r="A160" s="3"/>
      <c r="B160" s="3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2"/>
    </row>
    <row r="161" spans="1:45" ht="12.75" customHeight="1">
      <c r="A161" s="3"/>
      <c r="B161" s="3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2"/>
    </row>
    <row r="162" spans="1:45" ht="12.75" customHeight="1">
      <c r="A162" s="3"/>
      <c r="B162" s="3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2"/>
    </row>
    <row r="163" spans="1:45" ht="12.75" customHeight="1">
      <c r="A163" s="3"/>
      <c r="B163" s="3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2"/>
    </row>
    <row r="164" spans="1:45" ht="12.75" customHeight="1">
      <c r="A164" s="3"/>
      <c r="B164" s="3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2"/>
    </row>
    <row r="165" spans="1:45" ht="12.75" customHeight="1">
      <c r="A165" s="3"/>
      <c r="B165" s="3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2"/>
    </row>
    <row r="166" spans="1:45" ht="12.75" customHeight="1">
      <c r="A166" s="3"/>
      <c r="B166" s="3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2"/>
    </row>
    <row r="167" spans="1:45" ht="12.75" customHeight="1">
      <c r="A167" s="3"/>
      <c r="B167" s="3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2"/>
    </row>
    <row r="168" spans="1:45" ht="12.75" customHeight="1">
      <c r="A168" s="3"/>
      <c r="B168" s="3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2"/>
    </row>
    <row r="169" spans="1:45" ht="12.75" customHeight="1">
      <c r="A169" s="3"/>
      <c r="B169" s="3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2"/>
    </row>
    <row r="170" spans="1:45" ht="12.75" customHeight="1">
      <c r="A170" s="3"/>
      <c r="B170" s="3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2"/>
    </row>
    <row r="171" spans="1:45" ht="12.75" customHeight="1">
      <c r="A171" s="3"/>
      <c r="B171" s="3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2"/>
    </row>
    <row r="172" spans="1:45" ht="12.75" customHeight="1">
      <c r="A172" s="3"/>
      <c r="B172" s="3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2"/>
    </row>
    <row r="173" spans="1:45" ht="12.75" customHeight="1">
      <c r="A173" s="3"/>
      <c r="B173" s="3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2"/>
    </row>
    <row r="174" spans="1:45" ht="12.75" customHeight="1">
      <c r="A174" s="3"/>
      <c r="B174" s="3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2"/>
    </row>
    <row r="175" spans="1:45" ht="12.75" customHeight="1">
      <c r="A175" s="3"/>
      <c r="B175" s="3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2"/>
    </row>
    <row r="176" spans="1:45" ht="12.75" customHeight="1">
      <c r="A176" s="3"/>
      <c r="B176" s="3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2"/>
    </row>
    <row r="177" spans="1:45" ht="12.75" customHeight="1">
      <c r="A177" s="3"/>
      <c r="B177" s="3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2"/>
    </row>
    <row r="178" spans="1:45" ht="12.75" customHeight="1">
      <c r="A178" s="3"/>
      <c r="B178" s="3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2"/>
    </row>
    <row r="179" spans="1:45" ht="12.75" customHeight="1">
      <c r="A179" s="3"/>
      <c r="B179" s="3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2"/>
    </row>
    <row r="180" spans="1:45" ht="12.75" customHeight="1">
      <c r="A180" s="3"/>
      <c r="B180" s="3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2"/>
    </row>
    <row r="181" spans="1:45" ht="12.75" customHeight="1">
      <c r="A181" s="3"/>
      <c r="B181" s="3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2"/>
    </row>
    <row r="182" spans="1:45" ht="12.75" customHeight="1">
      <c r="A182" s="3"/>
      <c r="B182" s="3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2"/>
    </row>
    <row r="183" spans="1:45" ht="12.75" customHeight="1">
      <c r="A183" s="3"/>
      <c r="B183" s="3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2"/>
    </row>
    <row r="184" spans="1:45" ht="12.75" customHeight="1">
      <c r="A184" s="3"/>
      <c r="B184" s="3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2"/>
    </row>
    <row r="185" spans="1:45" ht="12.75" customHeight="1">
      <c r="A185" s="3"/>
      <c r="B185" s="3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2"/>
    </row>
    <row r="186" spans="1:45" ht="12.75" customHeight="1">
      <c r="A186" s="3"/>
      <c r="B186" s="3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2"/>
    </row>
    <row r="187" spans="1:45" ht="12.75" customHeight="1">
      <c r="A187" s="3"/>
      <c r="B187" s="3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2"/>
    </row>
    <row r="188" spans="1:45" ht="12.75" customHeight="1">
      <c r="A188" s="3"/>
      <c r="B188" s="3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2"/>
    </row>
    <row r="189" spans="1:45" ht="12.75" customHeight="1">
      <c r="A189" s="3"/>
      <c r="B189" s="3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2"/>
    </row>
    <row r="190" spans="1:45" ht="12.75" customHeight="1">
      <c r="A190" s="3"/>
      <c r="B190" s="3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2"/>
    </row>
    <row r="191" spans="1:45" ht="12.75" customHeight="1">
      <c r="A191" s="3"/>
      <c r="B191" s="3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2"/>
    </row>
    <row r="192" spans="1:45" ht="12.75" customHeight="1">
      <c r="A192" s="3"/>
      <c r="B192" s="3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2"/>
    </row>
    <row r="193" spans="1:45" ht="12.75" customHeight="1">
      <c r="A193" s="3"/>
      <c r="B193" s="3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2"/>
    </row>
    <row r="194" spans="1:45" ht="12.75" customHeight="1">
      <c r="A194" s="3"/>
      <c r="B194" s="3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2"/>
    </row>
    <row r="195" spans="1:45" ht="12.75" customHeight="1">
      <c r="A195" s="3"/>
      <c r="B195" s="3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2"/>
    </row>
    <row r="196" spans="1:45" ht="12.75" customHeight="1">
      <c r="A196" s="3"/>
      <c r="B196" s="3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2"/>
    </row>
    <row r="197" spans="1:45" ht="12.75" customHeight="1">
      <c r="A197" s="3"/>
      <c r="B197" s="3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2"/>
    </row>
    <row r="198" spans="1:45" ht="12.75" customHeight="1">
      <c r="A198" s="3"/>
      <c r="B198" s="3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2"/>
    </row>
    <row r="199" spans="1:45" ht="12.75" customHeight="1">
      <c r="A199" s="3"/>
      <c r="B199" s="3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2"/>
    </row>
    <row r="200" spans="1:45" ht="12.75" customHeight="1">
      <c r="A200" s="3"/>
      <c r="B200" s="3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2"/>
    </row>
    <row r="201" spans="1:45" ht="12.75" customHeight="1">
      <c r="A201" s="3"/>
      <c r="B201" s="3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2"/>
    </row>
    <row r="202" spans="1:45" ht="12.75" customHeight="1">
      <c r="A202" s="3"/>
      <c r="B202" s="3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2"/>
    </row>
    <row r="203" spans="1:45" ht="12.75" customHeight="1">
      <c r="A203" s="3"/>
      <c r="B203" s="3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2"/>
    </row>
    <row r="204" spans="1:45" ht="12.75" customHeight="1">
      <c r="A204" s="3"/>
      <c r="B204" s="3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2"/>
    </row>
    <row r="205" spans="1:45" ht="12.75" customHeight="1">
      <c r="A205" s="3"/>
      <c r="B205" s="3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2"/>
    </row>
    <row r="206" spans="1:45" ht="12.75" customHeight="1">
      <c r="A206" s="3"/>
      <c r="B206" s="3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2"/>
    </row>
    <row r="207" spans="1:45" ht="12.75" customHeight="1">
      <c r="A207" s="3"/>
      <c r="B207" s="3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2"/>
    </row>
    <row r="208" spans="1:45" ht="12.75" customHeight="1">
      <c r="A208" s="3"/>
      <c r="B208" s="3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2"/>
    </row>
    <row r="209" spans="1:45" ht="12.75" customHeight="1">
      <c r="A209" s="3"/>
      <c r="B209" s="3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2"/>
    </row>
    <row r="210" spans="1:45" ht="12.75" customHeight="1">
      <c r="A210" s="3"/>
      <c r="B210" s="3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2"/>
    </row>
    <row r="211" spans="1:45" ht="12.75" customHeight="1">
      <c r="A211" s="3"/>
      <c r="B211" s="3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2"/>
    </row>
    <row r="212" spans="1:45" ht="12.75" customHeight="1">
      <c r="A212" s="3"/>
      <c r="B212" s="3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2"/>
    </row>
    <row r="213" spans="1:45" ht="12.75" customHeight="1">
      <c r="A213" s="3"/>
      <c r="B213" s="3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2"/>
    </row>
    <row r="214" spans="1:45" ht="12.75" customHeight="1">
      <c r="A214" s="3"/>
      <c r="B214" s="3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2"/>
    </row>
    <row r="215" spans="1:45" ht="12.75" customHeight="1">
      <c r="A215" s="3"/>
      <c r="B215" s="3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2"/>
    </row>
    <row r="216" spans="1:45" ht="12.75" customHeight="1">
      <c r="A216" s="3"/>
      <c r="B216" s="3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2"/>
    </row>
    <row r="217" spans="1:45" ht="12.75" customHeight="1">
      <c r="A217" s="3"/>
      <c r="B217" s="3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2"/>
    </row>
    <row r="218" spans="1:45" ht="12.75" customHeight="1">
      <c r="A218" s="3"/>
      <c r="B218" s="3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2"/>
    </row>
    <row r="219" spans="1:45" ht="12.75" customHeight="1">
      <c r="A219" s="3"/>
      <c r="B219" s="3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2"/>
    </row>
    <row r="220" spans="1:45" ht="12.75" customHeight="1">
      <c r="A220" s="3"/>
      <c r="B220" s="3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2"/>
    </row>
    <row r="221" spans="1:45" ht="12.75" customHeight="1">
      <c r="A221" s="3"/>
      <c r="B221" s="3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2"/>
    </row>
    <row r="222" spans="1:45" ht="12.75" customHeight="1">
      <c r="A222" s="3"/>
      <c r="B222" s="3"/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2"/>
    </row>
    <row r="223" spans="1:45" ht="12.75" customHeight="1">
      <c r="A223" s="3"/>
      <c r="B223" s="3"/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2"/>
    </row>
    <row r="224" spans="1:45" ht="12.75" customHeight="1">
      <c r="A224" s="3"/>
      <c r="B224" s="3"/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2"/>
    </row>
    <row r="225" spans="1:45" ht="12.75" customHeight="1">
      <c r="A225" s="3"/>
      <c r="B225" s="3"/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2"/>
    </row>
    <row r="226" spans="1:45" ht="12.75" customHeight="1">
      <c r="A226" s="3"/>
      <c r="B226" s="3"/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2"/>
    </row>
    <row r="227" spans="1:45" ht="12.75" customHeight="1">
      <c r="A227" s="3"/>
      <c r="B227" s="3"/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2"/>
    </row>
    <row r="228" spans="1:45" ht="12.75" customHeight="1">
      <c r="A228" s="3"/>
      <c r="B228" s="3"/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2"/>
    </row>
    <row r="229" spans="1:45" ht="12.75" customHeight="1">
      <c r="A229" s="3"/>
      <c r="B229" s="3"/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2"/>
    </row>
    <row r="230" spans="1:45" ht="12.75" customHeight="1">
      <c r="A230" s="3"/>
      <c r="B230" s="3"/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2"/>
    </row>
    <row r="231" spans="1:45" ht="12.75" customHeight="1">
      <c r="A231" s="3"/>
      <c r="B231" s="3"/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2"/>
    </row>
    <row r="232" spans="1:45" ht="12.75" customHeight="1">
      <c r="A232" s="3"/>
      <c r="B232" s="3"/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2"/>
    </row>
    <row r="233" spans="1:45" ht="12.75" customHeight="1">
      <c r="A233" s="3"/>
      <c r="B233" s="3"/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2"/>
    </row>
    <row r="234" spans="1:45" ht="12.75" customHeight="1">
      <c r="A234" s="3"/>
      <c r="B234" s="3"/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2"/>
    </row>
    <row r="235" spans="1:45" ht="12.75" customHeight="1">
      <c r="A235" s="3"/>
      <c r="B235" s="3"/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2"/>
    </row>
    <row r="236" spans="1:45" ht="12.75" customHeight="1">
      <c r="A236" s="3"/>
      <c r="B236" s="3"/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2"/>
    </row>
    <row r="237" spans="1:45" ht="12.75" customHeight="1">
      <c r="A237" s="3"/>
      <c r="B237" s="3"/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2"/>
    </row>
    <row r="238" spans="1:45" ht="12.75" customHeight="1">
      <c r="A238" s="3"/>
      <c r="B238" s="3"/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2"/>
    </row>
    <row r="239" spans="1:45" ht="12.75" customHeight="1">
      <c r="A239" s="3"/>
      <c r="B239" s="3"/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2"/>
    </row>
    <row r="240" spans="1:45" ht="12.75" customHeight="1">
      <c r="A240" s="3"/>
      <c r="B240" s="3"/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2"/>
    </row>
    <row r="241" spans="1:45" ht="12.75" customHeight="1">
      <c r="A241" s="3"/>
      <c r="B241" s="3"/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2"/>
    </row>
    <row r="242" spans="1:45" ht="12.75" customHeight="1">
      <c r="A242" s="3"/>
      <c r="B242" s="3"/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2"/>
    </row>
    <row r="243" spans="1:45" ht="12.75" customHeight="1">
      <c r="A243" s="3"/>
      <c r="B243" s="3"/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2"/>
    </row>
    <row r="244" spans="1:45" ht="12.75" customHeight="1">
      <c r="A244" s="3"/>
      <c r="B244" s="3"/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2"/>
    </row>
    <row r="245" spans="1:45" ht="12.75" customHeight="1">
      <c r="A245" s="3"/>
      <c r="B245" s="3"/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2"/>
    </row>
    <row r="246" spans="1:45" ht="12.75" customHeight="1">
      <c r="A246" s="3"/>
      <c r="B246" s="3"/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2"/>
    </row>
    <row r="247" spans="1:45" ht="12.75" customHeight="1">
      <c r="A247" s="3"/>
      <c r="B247" s="3"/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2"/>
    </row>
    <row r="248" spans="1:45" ht="12.75" customHeight="1">
      <c r="A248" s="3"/>
      <c r="B248" s="3"/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2"/>
    </row>
    <row r="249" spans="1:45" ht="12.75" customHeight="1">
      <c r="A249" s="3"/>
      <c r="B249" s="3"/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2"/>
    </row>
    <row r="250" spans="1:45" ht="12.75" customHeight="1">
      <c r="A250" s="3"/>
      <c r="B250" s="3"/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2"/>
    </row>
    <row r="251" spans="1:45" ht="12.75" customHeight="1">
      <c r="A251" s="3"/>
      <c r="B251" s="3"/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2"/>
    </row>
    <row r="252" spans="1:45" ht="12.75" customHeight="1">
      <c r="A252" s="3"/>
      <c r="B252" s="3"/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2"/>
    </row>
    <row r="253" spans="1:45" ht="12.75" customHeight="1">
      <c r="A253" s="3"/>
      <c r="B253" s="3"/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2"/>
    </row>
    <row r="254" spans="1:45" ht="12.75" customHeight="1">
      <c r="A254" s="3"/>
      <c r="B254" s="3"/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2"/>
    </row>
    <row r="255" spans="1:45" ht="12.75" customHeight="1">
      <c r="A255" s="3"/>
      <c r="B255" s="3"/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2"/>
    </row>
    <row r="256" spans="1:45" ht="12.75" customHeight="1">
      <c r="A256" s="3"/>
      <c r="B256" s="3"/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2"/>
    </row>
    <row r="257" spans="1:45" ht="12.75" customHeight="1">
      <c r="A257" s="3"/>
      <c r="B257" s="3"/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2"/>
    </row>
    <row r="258" spans="1:45" ht="12.75" customHeight="1">
      <c r="A258" s="3"/>
      <c r="B258" s="3"/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2"/>
    </row>
    <row r="259" spans="1:45" ht="12.75" customHeight="1">
      <c r="A259" s="3"/>
      <c r="B259" s="3"/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2"/>
    </row>
    <row r="260" spans="1:45" ht="12.75" customHeight="1">
      <c r="A260" s="3"/>
      <c r="B260" s="3"/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2"/>
    </row>
    <row r="261" spans="1:45" ht="12.75" customHeight="1">
      <c r="A261" s="3"/>
      <c r="B261" s="3"/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2"/>
    </row>
    <row r="262" spans="1:45" ht="12.75" customHeight="1">
      <c r="A262" s="3"/>
      <c r="B262" s="3"/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2"/>
    </row>
    <row r="263" spans="1:45" ht="12.75" customHeight="1">
      <c r="A263" s="3"/>
      <c r="B263" s="3"/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2"/>
    </row>
    <row r="264" spans="1:45" ht="12.75" customHeight="1">
      <c r="A264" s="3"/>
      <c r="B264" s="3"/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2"/>
    </row>
    <row r="265" spans="1:45" ht="12.75" customHeight="1">
      <c r="A265" s="3"/>
      <c r="B265" s="3"/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2"/>
    </row>
    <row r="266" spans="1:45" ht="12.75" customHeight="1">
      <c r="A266" s="3"/>
      <c r="B266" s="3"/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2"/>
    </row>
    <row r="267" spans="1:45" ht="12.75" customHeight="1">
      <c r="A267" s="3"/>
      <c r="B267" s="3"/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2"/>
    </row>
    <row r="268" spans="1:45" ht="12.75" customHeight="1">
      <c r="A268" s="3"/>
      <c r="B268" s="3"/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2"/>
    </row>
    <row r="269" spans="1:45" ht="12.75" customHeight="1">
      <c r="A269" s="3"/>
      <c r="B269" s="3"/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2"/>
    </row>
    <row r="270" spans="1:45" ht="12.75" customHeight="1">
      <c r="A270" s="3"/>
      <c r="B270" s="3"/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2"/>
    </row>
    <row r="271" spans="1:45" ht="12.75" customHeight="1">
      <c r="A271" s="3"/>
      <c r="B271" s="3"/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2"/>
    </row>
    <row r="272" spans="1:45" ht="12.75" customHeight="1">
      <c r="A272" s="3"/>
      <c r="B272" s="3"/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2"/>
    </row>
    <row r="273" spans="1:45" ht="12.75" customHeight="1">
      <c r="A273" s="3"/>
      <c r="B273" s="3"/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2"/>
    </row>
    <row r="274" spans="1:45" ht="12.75" customHeight="1">
      <c r="A274" s="3"/>
      <c r="B274" s="3"/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2"/>
    </row>
    <row r="275" spans="1:45" ht="12.75" customHeight="1">
      <c r="A275" s="3"/>
      <c r="B275" s="3"/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2"/>
    </row>
    <row r="276" spans="1:45" ht="12.75" customHeight="1">
      <c r="A276" s="3"/>
      <c r="B276" s="3"/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2"/>
    </row>
    <row r="277" spans="1:45" ht="12.75" customHeight="1">
      <c r="A277" s="3"/>
      <c r="B277" s="3"/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2"/>
    </row>
    <row r="278" spans="1:45" ht="12.75" customHeight="1">
      <c r="A278" s="3"/>
      <c r="B278" s="3"/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2"/>
    </row>
    <row r="279" spans="1:45" ht="12.75" customHeight="1">
      <c r="A279" s="3"/>
      <c r="B279" s="3"/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2"/>
    </row>
    <row r="280" spans="1:45" ht="12.75" customHeight="1">
      <c r="A280" s="3"/>
      <c r="B280" s="3"/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2"/>
    </row>
    <row r="281" spans="1:45" ht="12.75" customHeight="1">
      <c r="A281" s="3"/>
      <c r="B281" s="3"/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2"/>
    </row>
    <row r="282" spans="1:45" ht="12.75" customHeight="1">
      <c r="A282" s="3"/>
      <c r="B282" s="3"/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2"/>
    </row>
    <row r="283" spans="1:45" ht="12.75" customHeight="1">
      <c r="A283" s="3"/>
      <c r="B283" s="3"/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2"/>
    </row>
    <row r="284" spans="1:45" ht="12.75" customHeight="1">
      <c r="A284" s="3"/>
      <c r="B284" s="3"/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2"/>
    </row>
    <row r="285" spans="1:45" ht="12.75" customHeight="1">
      <c r="A285" s="3"/>
      <c r="B285" s="3"/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2"/>
    </row>
    <row r="286" spans="1:45" ht="12.75" customHeight="1">
      <c r="A286" s="3"/>
      <c r="B286" s="3"/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2"/>
    </row>
    <row r="287" spans="1:45" ht="12.75" customHeight="1">
      <c r="A287" s="3"/>
      <c r="B287" s="3"/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2"/>
    </row>
    <row r="288" spans="1:45" ht="12.75" customHeight="1">
      <c r="A288" s="3"/>
      <c r="B288" s="3"/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2"/>
    </row>
    <row r="289" spans="1:45" ht="12.75" customHeight="1">
      <c r="A289" s="3"/>
      <c r="B289" s="3"/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2"/>
    </row>
    <row r="290" spans="1:45" ht="12.75" customHeight="1">
      <c r="A290" s="3"/>
      <c r="B290" s="3"/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2"/>
    </row>
    <row r="291" spans="1:45" ht="12.75" customHeight="1">
      <c r="A291" s="3"/>
      <c r="B291" s="3"/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2"/>
    </row>
    <row r="292" spans="1:45" ht="12.75" customHeight="1">
      <c r="A292" s="3"/>
      <c r="B292" s="3"/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2"/>
    </row>
    <row r="293" spans="1:45" ht="12.75" customHeight="1">
      <c r="A293" s="3"/>
      <c r="B293" s="3"/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2"/>
    </row>
    <row r="294" spans="1:45" ht="12.75" customHeight="1">
      <c r="A294" s="3"/>
      <c r="B294" s="3"/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2"/>
    </row>
    <row r="295" spans="1:45" ht="12.75" customHeight="1">
      <c r="A295" s="3"/>
      <c r="B295" s="3"/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2"/>
    </row>
    <row r="296" spans="1:45" ht="12.75" customHeight="1">
      <c r="A296" s="3"/>
      <c r="B296" s="3"/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2"/>
    </row>
    <row r="297" spans="1:45" ht="12.75" customHeight="1">
      <c r="A297" s="3"/>
      <c r="B297" s="3"/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2"/>
    </row>
    <row r="298" spans="1:45" ht="12.75" customHeight="1">
      <c r="A298" s="3"/>
      <c r="B298" s="3"/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2"/>
    </row>
    <row r="299" spans="1:45" ht="12.75" customHeight="1">
      <c r="A299" s="3"/>
      <c r="B299" s="3"/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2"/>
    </row>
    <row r="300" spans="1:45" ht="12.75" customHeight="1">
      <c r="A300" s="3"/>
      <c r="B300" s="3"/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2"/>
    </row>
    <row r="301" spans="1:45" ht="12.75" customHeight="1">
      <c r="A301" s="3"/>
      <c r="B301" s="3"/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2"/>
    </row>
    <row r="302" spans="1:45" ht="12.75" customHeight="1">
      <c r="A302" s="3"/>
      <c r="B302" s="3"/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2"/>
    </row>
    <row r="303" spans="1:45" ht="12.75" customHeight="1">
      <c r="A303" s="3"/>
      <c r="B303" s="3"/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2"/>
    </row>
    <row r="304" spans="1:45" ht="12.75" customHeight="1">
      <c r="A304" s="3"/>
      <c r="B304" s="3"/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2"/>
    </row>
    <row r="305" spans="1:45" ht="12.75" customHeight="1">
      <c r="A305" s="3"/>
      <c r="B305" s="3"/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2"/>
    </row>
    <row r="306" spans="1:45" ht="12.75" customHeight="1">
      <c r="A306" s="3"/>
      <c r="B306" s="3"/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2"/>
    </row>
    <row r="307" spans="1:45" ht="12.75" customHeight="1">
      <c r="A307" s="3"/>
      <c r="B307" s="3"/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2"/>
    </row>
    <row r="308" spans="1:45" ht="12.75" customHeight="1">
      <c r="A308" s="3"/>
      <c r="B308" s="3"/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2"/>
    </row>
    <row r="309" spans="1:45" ht="12.75" customHeight="1">
      <c r="A309" s="3"/>
      <c r="B309" s="3"/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2"/>
    </row>
    <row r="310" spans="1:45" ht="12.75" customHeight="1">
      <c r="A310" s="3"/>
      <c r="B310" s="3"/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2"/>
    </row>
    <row r="311" spans="1:45" ht="12.75" customHeight="1">
      <c r="A311" s="3"/>
      <c r="B311" s="3"/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2"/>
    </row>
    <row r="312" spans="1:45" ht="12.75" customHeight="1">
      <c r="A312" s="3"/>
      <c r="B312" s="3"/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2"/>
    </row>
    <row r="313" spans="1:45" ht="12.75" customHeight="1">
      <c r="A313" s="3"/>
      <c r="B313" s="3"/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2"/>
    </row>
    <row r="314" spans="1:45" ht="12.75" customHeight="1">
      <c r="A314" s="3"/>
      <c r="B314" s="3"/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2"/>
    </row>
    <row r="315" spans="1:45" ht="12.75" customHeight="1">
      <c r="A315" s="3"/>
      <c r="B315" s="3"/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2"/>
    </row>
    <row r="316" spans="1:45" ht="12.75" customHeight="1">
      <c r="A316" s="3"/>
      <c r="B316" s="3"/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2"/>
    </row>
    <row r="317" spans="1:45" ht="12.75" customHeight="1">
      <c r="A317" s="3"/>
      <c r="B317" s="3"/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2"/>
    </row>
    <row r="318" spans="1:45" ht="12.75" customHeight="1">
      <c r="A318" s="3"/>
      <c r="B318" s="3"/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2"/>
    </row>
    <row r="319" spans="1:45" ht="12.75" customHeight="1">
      <c r="A319" s="3"/>
      <c r="B319" s="3"/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2"/>
    </row>
    <row r="320" spans="1:45" ht="12.75" customHeight="1">
      <c r="A320" s="3"/>
      <c r="B320" s="3"/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2"/>
    </row>
    <row r="321" spans="1:45" ht="12.75" customHeight="1">
      <c r="A321" s="3"/>
      <c r="B321" s="3"/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2"/>
    </row>
    <row r="322" spans="1:45" ht="12.75" customHeight="1">
      <c r="A322" s="3"/>
      <c r="B322" s="3"/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2"/>
    </row>
    <row r="323" spans="1:45" ht="12.75" customHeight="1">
      <c r="A323" s="3"/>
      <c r="B323" s="3"/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2"/>
    </row>
    <row r="324" spans="1:45" ht="12.75" customHeight="1">
      <c r="A324" s="3"/>
      <c r="B324" s="3"/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2"/>
    </row>
    <row r="325" spans="1:45" ht="12.75" customHeight="1">
      <c r="A325" s="3"/>
      <c r="B325" s="3"/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2"/>
    </row>
    <row r="326" spans="1:45" ht="12.75" customHeight="1">
      <c r="A326" s="3"/>
      <c r="B326" s="3"/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2"/>
    </row>
    <row r="327" spans="1:45" ht="12.75" customHeight="1">
      <c r="A327" s="3"/>
      <c r="B327" s="3"/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2"/>
    </row>
    <row r="328" spans="1:45" ht="12.75" customHeight="1">
      <c r="A328" s="3"/>
      <c r="B328" s="3"/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2"/>
    </row>
    <row r="329" spans="1:45" ht="12.75" customHeight="1">
      <c r="A329" s="3"/>
      <c r="B329" s="3"/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2"/>
    </row>
    <row r="330" spans="1:45" ht="12.75" customHeight="1">
      <c r="A330" s="3"/>
      <c r="B330" s="3"/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2"/>
    </row>
    <row r="331" spans="1:45" ht="12.75" customHeight="1">
      <c r="A331" s="3"/>
      <c r="B331" s="3"/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2"/>
    </row>
    <row r="332" spans="1:45" ht="12.75" customHeight="1">
      <c r="A332" s="3"/>
      <c r="B332" s="3"/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2"/>
    </row>
    <row r="333" spans="1:45" ht="12.75" customHeight="1">
      <c r="A333" s="3"/>
      <c r="B333" s="3"/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2"/>
    </row>
    <row r="334" spans="1:45" ht="12.75" customHeight="1">
      <c r="A334" s="3"/>
      <c r="B334" s="3"/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2"/>
    </row>
    <row r="335" spans="1:45" ht="12.75" customHeight="1">
      <c r="A335" s="3"/>
      <c r="B335" s="3"/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2"/>
    </row>
    <row r="336" spans="1:45" ht="12.75" customHeight="1">
      <c r="A336" s="3"/>
      <c r="B336" s="3"/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2"/>
    </row>
    <row r="337" spans="1:45" ht="12.75" customHeight="1">
      <c r="A337" s="3"/>
      <c r="B337" s="3"/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2"/>
    </row>
    <row r="338" spans="1:45" ht="12.75" customHeight="1">
      <c r="A338" s="3"/>
      <c r="B338" s="3"/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2"/>
    </row>
    <row r="339" spans="1:45" ht="12.75" customHeight="1">
      <c r="A339" s="3"/>
      <c r="B339" s="3"/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2"/>
    </row>
    <row r="340" spans="1:45" ht="12.75" customHeight="1">
      <c r="A340" s="3"/>
      <c r="B340" s="3"/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2"/>
    </row>
    <row r="341" spans="1:45" ht="12.75" customHeight="1">
      <c r="A341" s="3"/>
      <c r="B341" s="3"/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2"/>
    </row>
    <row r="342" spans="1:45" ht="12.75" customHeight="1">
      <c r="A342" s="3"/>
      <c r="B342" s="3"/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2"/>
    </row>
    <row r="343" spans="1:45" ht="12.75" customHeight="1">
      <c r="A343" s="3"/>
      <c r="B343" s="3"/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2"/>
    </row>
    <row r="344" spans="1:45" ht="12.75" customHeight="1">
      <c r="A344" s="3"/>
      <c r="B344" s="3"/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2"/>
    </row>
    <row r="345" spans="1:45" ht="12.75" customHeight="1">
      <c r="A345" s="3"/>
      <c r="B345" s="3"/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2"/>
    </row>
    <row r="346" spans="1:45" ht="12.75" customHeight="1">
      <c r="A346" s="3"/>
      <c r="B346" s="3"/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2"/>
    </row>
    <row r="347" spans="1:45" ht="12.75" customHeight="1">
      <c r="A347" s="3"/>
      <c r="B347" s="3"/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2"/>
    </row>
    <row r="348" spans="1:45" ht="12.75" customHeight="1">
      <c r="A348" s="3"/>
      <c r="B348" s="3"/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2"/>
    </row>
    <row r="349" spans="1:45" ht="12.75" customHeight="1">
      <c r="A349" s="3"/>
      <c r="B349" s="3"/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2"/>
    </row>
    <row r="350" spans="1:45" ht="12.75" customHeight="1">
      <c r="A350" s="3"/>
      <c r="B350" s="3"/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2"/>
    </row>
    <row r="351" spans="1:45" ht="12.75" customHeight="1">
      <c r="A351" s="3"/>
      <c r="B351" s="3"/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2"/>
    </row>
    <row r="352" spans="1:45" ht="12.75" customHeight="1">
      <c r="A352" s="3"/>
      <c r="B352" s="3"/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2"/>
    </row>
    <row r="353" spans="1:45" ht="12.75" customHeight="1">
      <c r="A353" s="3"/>
      <c r="B353" s="3"/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2"/>
    </row>
    <row r="354" spans="1:45" ht="12.75" customHeight="1">
      <c r="A354" s="3"/>
      <c r="B354" s="3"/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2"/>
    </row>
    <row r="355" spans="1:45" ht="12.75" customHeight="1">
      <c r="A355" s="3"/>
      <c r="B355" s="3"/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2"/>
    </row>
    <row r="356" spans="1:45" ht="12.75" customHeight="1">
      <c r="A356" s="3"/>
      <c r="B356" s="3"/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2"/>
    </row>
    <row r="357" spans="1:45" ht="12.75" customHeight="1">
      <c r="A357" s="3"/>
      <c r="B357" s="3"/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2"/>
    </row>
    <row r="358" spans="1:45" ht="12.75" customHeight="1">
      <c r="A358" s="3"/>
      <c r="B358" s="3"/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2"/>
    </row>
    <row r="359" spans="1:45" ht="12.75" customHeight="1">
      <c r="A359" s="3"/>
      <c r="B359" s="3"/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2"/>
    </row>
    <row r="360" spans="1:45" ht="12.75" customHeight="1">
      <c r="A360" s="3"/>
      <c r="B360" s="3"/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2"/>
    </row>
    <row r="361" spans="1:45" ht="12.75" customHeight="1">
      <c r="A361" s="3"/>
      <c r="B361" s="3"/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2"/>
    </row>
    <row r="362" spans="1:45" ht="12.75" customHeight="1">
      <c r="A362" s="3"/>
      <c r="B362" s="3"/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2"/>
    </row>
    <row r="363" spans="1:45" ht="12.75" customHeight="1">
      <c r="A363" s="3"/>
      <c r="B363" s="3"/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2"/>
    </row>
    <row r="364" spans="1:45" ht="12.75" customHeight="1">
      <c r="A364" s="3"/>
      <c r="B364" s="3"/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2"/>
    </row>
    <row r="365" spans="1:45" ht="12.75" customHeight="1">
      <c r="A365" s="3"/>
      <c r="B365" s="3"/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2"/>
    </row>
    <row r="366" spans="1:45" ht="12.75" customHeight="1">
      <c r="A366" s="3"/>
      <c r="B366" s="3"/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2"/>
    </row>
    <row r="367" spans="1:45" ht="12.75" customHeight="1">
      <c r="A367" s="3"/>
      <c r="B367" s="3"/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2"/>
    </row>
    <row r="368" spans="1:45" ht="12.75" customHeight="1">
      <c r="A368" s="3"/>
      <c r="B368" s="3"/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2"/>
    </row>
    <row r="369" spans="1:45" ht="12.75" customHeight="1">
      <c r="A369" s="3"/>
      <c r="B369" s="3"/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2"/>
    </row>
    <row r="370" spans="1:45" ht="12.75" customHeight="1">
      <c r="A370" s="3"/>
      <c r="B370" s="3"/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2"/>
    </row>
    <row r="371" spans="1:45" ht="12.75" customHeight="1">
      <c r="A371" s="3"/>
      <c r="B371" s="3"/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2"/>
    </row>
    <row r="372" spans="1:45" ht="12.75" customHeight="1">
      <c r="A372" s="3"/>
      <c r="B372" s="3"/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2"/>
    </row>
    <row r="373" spans="1:45" ht="12.75" customHeight="1">
      <c r="A373" s="3"/>
      <c r="B373" s="3"/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2"/>
    </row>
    <row r="374" spans="1:45" ht="12.75" customHeight="1">
      <c r="A374" s="3"/>
      <c r="B374" s="3"/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2"/>
    </row>
    <row r="375" spans="1:45" ht="12.75" customHeight="1">
      <c r="A375" s="3"/>
      <c r="B375" s="3"/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2"/>
    </row>
    <row r="376" spans="1:45" ht="12.75" customHeight="1">
      <c r="A376" s="3"/>
      <c r="B376" s="3"/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2"/>
    </row>
    <row r="377" spans="1:45" ht="12.75" customHeight="1">
      <c r="A377" s="3"/>
      <c r="B377" s="3"/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2"/>
    </row>
    <row r="378" spans="1:45" ht="12.75" customHeight="1">
      <c r="A378" s="3"/>
      <c r="B378" s="3"/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2"/>
    </row>
    <row r="379" spans="1:45" ht="12.75" customHeight="1">
      <c r="A379" s="3"/>
      <c r="B379" s="3"/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2"/>
    </row>
    <row r="380" spans="1:45" ht="12.75" customHeight="1">
      <c r="A380" s="3"/>
      <c r="B380" s="3"/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2"/>
    </row>
    <row r="381" spans="1:45" ht="12.75" customHeight="1">
      <c r="A381" s="3"/>
      <c r="B381" s="3"/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2"/>
    </row>
    <row r="382" spans="1:45" ht="12.75" customHeight="1">
      <c r="A382" s="3"/>
      <c r="B382" s="3"/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2"/>
    </row>
    <row r="383" spans="1:45" ht="12.75" customHeight="1">
      <c r="A383" s="3"/>
      <c r="B383" s="3"/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2"/>
    </row>
    <row r="384" spans="1:45" ht="12.75" customHeight="1">
      <c r="A384" s="3"/>
      <c r="B384" s="3"/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2"/>
    </row>
    <row r="385" spans="1:45" ht="12.75" customHeight="1">
      <c r="A385" s="3"/>
      <c r="B385" s="3"/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2"/>
    </row>
    <row r="386" spans="1:45" ht="12.75" customHeight="1">
      <c r="A386" s="3"/>
      <c r="B386" s="3"/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2"/>
    </row>
    <row r="387" spans="1:45" ht="12.75" customHeight="1">
      <c r="A387" s="3"/>
      <c r="B387" s="3"/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2"/>
    </row>
    <row r="388" spans="1:45" ht="12.75" customHeight="1">
      <c r="A388" s="3"/>
      <c r="B388" s="3"/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2"/>
    </row>
    <row r="389" spans="1:45" ht="12.75" customHeight="1">
      <c r="A389" s="3"/>
      <c r="B389" s="3"/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2"/>
    </row>
    <row r="390" spans="1:45" ht="12.75" customHeight="1">
      <c r="A390" s="3"/>
      <c r="B390" s="3"/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2"/>
    </row>
    <row r="391" spans="1:45" ht="12.75" customHeight="1">
      <c r="A391" s="3"/>
      <c r="B391" s="3"/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2"/>
    </row>
    <row r="392" spans="1:45" ht="12.75" customHeight="1">
      <c r="A392" s="3"/>
      <c r="B392" s="3"/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2"/>
    </row>
    <row r="393" spans="1:45" ht="12.75" customHeight="1">
      <c r="A393" s="3"/>
      <c r="B393" s="3"/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2"/>
    </row>
    <row r="394" spans="1:45" ht="12.75" customHeight="1">
      <c r="A394" s="3"/>
      <c r="B394" s="3"/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2"/>
    </row>
    <row r="395" spans="1:45" ht="12.75" customHeight="1">
      <c r="A395" s="3"/>
      <c r="B395" s="3"/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2"/>
    </row>
    <row r="396" spans="1:45" ht="12.75" customHeight="1">
      <c r="A396" s="3"/>
      <c r="B396" s="3"/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2"/>
    </row>
    <row r="397" spans="1:45" ht="12.75" customHeight="1">
      <c r="A397" s="3"/>
      <c r="B397" s="3"/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2"/>
    </row>
    <row r="398" spans="1:45" ht="12.75" customHeight="1">
      <c r="A398" s="3"/>
      <c r="B398" s="3"/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2"/>
    </row>
    <row r="399" spans="1:45" ht="12.75" customHeight="1">
      <c r="A399" s="3"/>
      <c r="B399" s="3"/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2"/>
    </row>
    <row r="400" spans="1:45" ht="12.75" customHeight="1">
      <c r="A400" s="3"/>
      <c r="B400" s="3"/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2"/>
    </row>
    <row r="401" spans="1:45" ht="12.75" customHeight="1">
      <c r="A401" s="3"/>
      <c r="B401" s="3"/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2"/>
    </row>
    <row r="402" spans="1:45" ht="12.75" customHeight="1">
      <c r="A402" s="3"/>
      <c r="B402" s="3"/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2"/>
    </row>
    <row r="403" spans="1:45" ht="12.75" customHeight="1">
      <c r="A403" s="3"/>
      <c r="B403" s="3"/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2"/>
    </row>
    <row r="404" spans="1:45" ht="12.75" customHeight="1">
      <c r="A404" s="3"/>
      <c r="B404" s="3"/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2"/>
    </row>
    <row r="405" spans="1:45" ht="12.75" customHeight="1">
      <c r="A405" s="3"/>
      <c r="B405" s="3"/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2"/>
    </row>
    <row r="406" spans="1:45" ht="12.75" customHeight="1">
      <c r="A406" s="3"/>
      <c r="B406" s="3"/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2"/>
    </row>
    <row r="407" spans="1:45" ht="12.75" customHeight="1">
      <c r="A407" s="3"/>
      <c r="B407" s="3"/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2"/>
    </row>
    <row r="408" spans="1:45" ht="12.75" customHeight="1">
      <c r="A408" s="3"/>
      <c r="B408" s="3"/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2"/>
    </row>
    <row r="409" spans="1:45" ht="12.75" customHeight="1">
      <c r="A409" s="3"/>
      <c r="B409" s="3"/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2"/>
    </row>
    <row r="410" spans="1:45" ht="12.75" customHeight="1">
      <c r="A410" s="3"/>
      <c r="B410" s="3"/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2"/>
    </row>
    <row r="411" spans="1:45" ht="12.75" customHeight="1">
      <c r="A411" s="3"/>
      <c r="B411" s="3"/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2"/>
    </row>
    <row r="412" spans="1:45" ht="12.75" customHeight="1">
      <c r="A412" s="3"/>
      <c r="B412" s="3"/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2"/>
    </row>
    <row r="413" spans="1:45" ht="12.75" customHeight="1">
      <c r="A413" s="3"/>
      <c r="B413" s="3"/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2"/>
    </row>
    <row r="414" spans="1:45" ht="12.75" customHeight="1">
      <c r="A414" s="3"/>
      <c r="B414" s="3"/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2"/>
    </row>
    <row r="415" spans="1:45" ht="12.75" customHeight="1">
      <c r="A415" s="3"/>
      <c r="B415" s="3"/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2"/>
    </row>
    <row r="416" spans="1:45" ht="12.75" customHeight="1">
      <c r="A416" s="3"/>
      <c r="B416" s="3"/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2"/>
    </row>
    <row r="417" spans="1:45" ht="12.75" customHeight="1">
      <c r="A417" s="3"/>
      <c r="B417" s="3"/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2"/>
    </row>
    <row r="418" spans="1:45" ht="12.75" customHeight="1">
      <c r="A418" s="3"/>
      <c r="B418" s="3"/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2"/>
    </row>
    <row r="419" spans="1:45" ht="12.75" customHeight="1">
      <c r="A419" s="3"/>
      <c r="B419" s="3"/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2"/>
    </row>
    <row r="420" spans="1:45" ht="12.75" customHeight="1">
      <c r="A420" s="3"/>
      <c r="B420" s="3"/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2"/>
    </row>
    <row r="421" spans="1:45" ht="12.75" customHeight="1">
      <c r="A421" s="3"/>
      <c r="B421" s="3"/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2"/>
    </row>
    <row r="422" spans="1:45" ht="12.75" customHeight="1">
      <c r="A422" s="3"/>
      <c r="B422" s="3"/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2"/>
    </row>
    <row r="423" spans="1:45" ht="12.75" customHeight="1">
      <c r="A423" s="3"/>
      <c r="B423" s="3"/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2"/>
    </row>
    <row r="424" spans="1:45" ht="12.75" customHeight="1">
      <c r="A424" s="3"/>
      <c r="B424" s="3"/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2"/>
    </row>
    <row r="425" spans="1:45" ht="12.75" customHeight="1">
      <c r="A425" s="3"/>
      <c r="B425" s="3"/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2"/>
    </row>
    <row r="426" spans="1:45" ht="12.75" customHeight="1">
      <c r="A426" s="3"/>
      <c r="B426" s="3"/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2"/>
    </row>
    <row r="427" spans="1:45" ht="12.75" customHeight="1">
      <c r="A427" s="3"/>
      <c r="B427" s="3"/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2"/>
    </row>
    <row r="428" spans="1:45" ht="12.75" customHeight="1">
      <c r="A428" s="3"/>
      <c r="B428" s="3"/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2"/>
    </row>
    <row r="429" spans="1:45" ht="12.75" customHeight="1">
      <c r="A429" s="3"/>
      <c r="B429" s="3"/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2"/>
    </row>
    <row r="430" spans="1:45" ht="12.75" customHeight="1">
      <c r="A430" s="3"/>
      <c r="B430" s="3"/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2"/>
    </row>
    <row r="431" spans="1:45" ht="12.75" customHeight="1">
      <c r="A431" s="3"/>
      <c r="B431" s="3"/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2"/>
    </row>
    <row r="432" spans="1:45" ht="12.75" customHeight="1">
      <c r="A432" s="3"/>
      <c r="B432" s="3"/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2"/>
    </row>
    <row r="433" spans="1:45" ht="12.75" customHeight="1">
      <c r="A433" s="3"/>
      <c r="B433" s="3"/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2"/>
    </row>
    <row r="434" spans="1:45" ht="12.75" customHeight="1">
      <c r="A434" s="3"/>
      <c r="B434" s="3"/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2"/>
    </row>
    <row r="435" spans="1:45" ht="12.75" customHeight="1">
      <c r="A435" s="3"/>
      <c r="B435" s="3"/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2"/>
    </row>
    <row r="436" spans="1:45" ht="12.75" customHeight="1">
      <c r="A436" s="3"/>
      <c r="B436" s="3"/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2"/>
    </row>
    <row r="437" spans="1:45" ht="12.75" customHeight="1">
      <c r="A437" s="3"/>
      <c r="B437" s="3"/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2"/>
    </row>
    <row r="438" spans="1:45" ht="12.75" customHeight="1">
      <c r="A438" s="3"/>
      <c r="B438" s="3"/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2"/>
    </row>
    <row r="439" spans="1:45" ht="12.75" customHeight="1">
      <c r="A439" s="3"/>
      <c r="B439" s="3"/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2"/>
    </row>
    <row r="440" spans="1:45" ht="12.75" customHeight="1">
      <c r="A440" s="3"/>
      <c r="B440" s="3"/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2"/>
    </row>
    <row r="441" spans="1:45" ht="12.75" customHeight="1">
      <c r="A441" s="3"/>
      <c r="B441" s="3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2"/>
    </row>
    <row r="442" spans="1:45" ht="12.75" customHeight="1">
      <c r="A442" s="3"/>
      <c r="B442" s="3"/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2"/>
    </row>
    <row r="443" spans="1:45" ht="12.75" customHeight="1">
      <c r="A443" s="3"/>
      <c r="B443" s="3"/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2"/>
    </row>
    <row r="444" spans="1:45" ht="12.75" customHeight="1">
      <c r="A444" s="3"/>
      <c r="B444" s="3"/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2"/>
    </row>
    <row r="445" spans="1:45" ht="12.75" customHeight="1">
      <c r="A445" s="3"/>
      <c r="B445" s="3"/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2"/>
    </row>
    <row r="446" spans="1:45" ht="12.75" customHeight="1">
      <c r="A446" s="3"/>
      <c r="B446" s="3"/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2"/>
    </row>
    <row r="447" spans="1:45" ht="12.75" customHeight="1">
      <c r="A447" s="3"/>
      <c r="B447" s="3"/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2"/>
    </row>
    <row r="448" spans="1:45" ht="12.75" customHeight="1">
      <c r="A448" s="3"/>
      <c r="B448" s="3"/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2"/>
    </row>
    <row r="449" spans="1:45" ht="12.75" customHeight="1">
      <c r="A449" s="3"/>
      <c r="B449" s="3"/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2"/>
    </row>
    <row r="450" spans="1:45" ht="12.75" customHeight="1">
      <c r="A450" s="3"/>
      <c r="B450" s="3"/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2"/>
    </row>
    <row r="451" spans="1:45" ht="12.75" customHeight="1">
      <c r="A451" s="3"/>
      <c r="B451" s="3"/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2"/>
    </row>
    <row r="452" spans="1:45" ht="12.75" customHeight="1">
      <c r="A452" s="3"/>
      <c r="B452" s="3"/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2"/>
    </row>
    <row r="453" spans="1:45" ht="12.75" customHeight="1">
      <c r="A453" s="3"/>
      <c r="B453" s="3"/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2"/>
    </row>
    <row r="454" spans="1:45" ht="12.75" customHeight="1">
      <c r="A454" s="3"/>
      <c r="B454" s="3"/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2"/>
    </row>
    <row r="455" spans="1:45" ht="12.75" customHeight="1">
      <c r="A455" s="3"/>
      <c r="B455" s="3"/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2"/>
    </row>
    <row r="456" spans="1:45" ht="12.75" customHeight="1">
      <c r="A456" s="3"/>
      <c r="B456" s="3"/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2"/>
    </row>
    <row r="457" spans="1:45" ht="12.75" customHeight="1">
      <c r="A457" s="3"/>
      <c r="B457" s="3"/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2"/>
    </row>
    <row r="458" spans="1:45" ht="12.75" customHeight="1">
      <c r="A458" s="3"/>
      <c r="B458" s="3"/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2"/>
    </row>
    <row r="459" spans="1:45" ht="12.75" customHeight="1">
      <c r="A459" s="3"/>
      <c r="B459" s="3"/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2"/>
    </row>
    <row r="460" spans="1:45" ht="12.75" customHeight="1">
      <c r="A460" s="3"/>
      <c r="B460" s="3"/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2"/>
    </row>
    <row r="461" spans="1:45" ht="12.75" customHeight="1">
      <c r="A461" s="3"/>
      <c r="B461" s="3"/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2"/>
    </row>
    <row r="462" spans="1:45" ht="12.75" customHeight="1">
      <c r="A462" s="3"/>
      <c r="B462" s="3"/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2"/>
    </row>
    <row r="463" spans="1:45" ht="12.75" customHeight="1">
      <c r="A463" s="3"/>
      <c r="B463" s="3"/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2"/>
    </row>
    <row r="464" spans="1:45" ht="12.75" customHeight="1">
      <c r="A464" s="3"/>
      <c r="B464" s="3"/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2"/>
    </row>
    <row r="465" spans="1:45" ht="12.75" customHeight="1">
      <c r="A465" s="3"/>
      <c r="B465" s="3"/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2"/>
    </row>
    <row r="466" spans="1:45" ht="12.75" customHeight="1">
      <c r="A466" s="3"/>
      <c r="B466" s="3"/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2"/>
    </row>
    <row r="467" spans="1:45" ht="12.75" customHeight="1">
      <c r="A467" s="3"/>
      <c r="B467" s="3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2"/>
    </row>
    <row r="468" spans="1:45" ht="12.75" customHeight="1">
      <c r="A468" s="3"/>
      <c r="B468" s="3"/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2"/>
    </row>
    <row r="469" spans="1:45" ht="12.75" customHeight="1">
      <c r="A469" s="3"/>
      <c r="B469" s="3"/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2"/>
    </row>
    <row r="470" spans="1:45" ht="12.75" customHeight="1">
      <c r="A470" s="3"/>
      <c r="B470" s="3"/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2"/>
    </row>
    <row r="471" spans="1:45" ht="12.75" customHeight="1">
      <c r="A471" s="3"/>
      <c r="B471" s="3"/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2"/>
    </row>
    <row r="472" spans="1:45" ht="12.75" customHeight="1">
      <c r="A472" s="3"/>
      <c r="B472" s="3"/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2"/>
    </row>
    <row r="473" spans="1:45" ht="12.75" customHeight="1">
      <c r="A473" s="3"/>
      <c r="B473" s="3"/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2"/>
    </row>
    <row r="474" spans="1:45" ht="12.75" customHeight="1">
      <c r="A474" s="3"/>
      <c r="B474" s="3"/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2"/>
    </row>
    <row r="475" spans="1:45" ht="12.75" customHeight="1">
      <c r="A475" s="3"/>
      <c r="B475" s="3"/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2"/>
    </row>
    <row r="476" spans="1:45" ht="12.75" customHeight="1">
      <c r="A476" s="3"/>
      <c r="B476" s="3"/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2"/>
    </row>
    <row r="477" spans="1:45" ht="12.75" customHeight="1">
      <c r="A477" s="3"/>
      <c r="B477" s="3"/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2"/>
    </row>
    <row r="478" spans="1:45" ht="12.75" customHeight="1">
      <c r="A478" s="3"/>
      <c r="B478" s="3"/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2"/>
    </row>
    <row r="479" spans="1:45" ht="12.75" customHeight="1">
      <c r="A479" s="3"/>
      <c r="B479" s="3"/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2"/>
    </row>
    <row r="480" spans="1:45" ht="12.75" customHeight="1">
      <c r="A480" s="3"/>
      <c r="B480" s="3"/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2"/>
    </row>
    <row r="481" spans="1:45" ht="12.75" customHeight="1">
      <c r="A481" s="3"/>
      <c r="B481" s="3"/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2"/>
    </row>
    <row r="482" spans="1:45" ht="12.75" customHeight="1">
      <c r="A482" s="3"/>
      <c r="B482" s="3"/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2"/>
    </row>
    <row r="483" spans="1:45" ht="12.75" customHeight="1">
      <c r="A483" s="3"/>
      <c r="B483" s="3"/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2"/>
    </row>
    <row r="484" spans="1:45" ht="12.75" customHeight="1">
      <c r="A484" s="3"/>
      <c r="B484" s="3"/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2"/>
    </row>
    <row r="485" spans="1:45" ht="12.75" customHeight="1">
      <c r="A485" s="3"/>
      <c r="B485" s="3"/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2"/>
    </row>
    <row r="486" spans="1:45" ht="12.75" customHeight="1">
      <c r="A486" s="3"/>
      <c r="B486" s="3"/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2"/>
    </row>
    <row r="487" spans="1:45" ht="12.75" customHeight="1">
      <c r="A487" s="3"/>
      <c r="B487" s="3"/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2"/>
    </row>
    <row r="488" spans="1:45" ht="12.75" customHeight="1">
      <c r="A488" s="3"/>
      <c r="B488" s="3"/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2"/>
    </row>
    <row r="489" spans="1:45" ht="12.75" customHeight="1">
      <c r="A489" s="3"/>
      <c r="B489" s="3"/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2"/>
    </row>
    <row r="490" spans="1:45" ht="12.75" customHeight="1">
      <c r="A490" s="3"/>
      <c r="B490" s="3"/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2"/>
    </row>
    <row r="491" spans="1:45" ht="12.75" customHeight="1">
      <c r="A491" s="3"/>
      <c r="B491" s="3"/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2"/>
    </row>
    <row r="492" spans="1:45" ht="12.75" customHeight="1">
      <c r="A492" s="3"/>
      <c r="B492" s="3"/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2"/>
    </row>
    <row r="493" spans="1:45" ht="12.75" customHeight="1">
      <c r="A493" s="3"/>
      <c r="B493" s="3"/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2"/>
    </row>
    <row r="494" spans="1:45" ht="12.75" customHeight="1">
      <c r="A494" s="3"/>
      <c r="B494" s="3"/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2"/>
    </row>
    <row r="495" spans="1:45" ht="12.75" customHeight="1">
      <c r="A495" s="3"/>
      <c r="B495" s="3"/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2"/>
    </row>
    <row r="496" spans="1:45" ht="12.75" customHeight="1">
      <c r="A496" s="3"/>
      <c r="B496" s="3"/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2"/>
    </row>
    <row r="497" spans="1:45" ht="12.75" customHeight="1">
      <c r="A497" s="3"/>
      <c r="B497" s="3"/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2"/>
    </row>
    <row r="498" spans="1:45" ht="12.75" customHeight="1">
      <c r="A498" s="3"/>
      <c r="B498" s="3"/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2"/>
    </row>
    <row r="499" spans="1:45" ht="12.75" customHeight="1">
      <c r="A499" s="3"/>
      <c r="B499" s="3"/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2"/>
    </row>
    <row r="500" spans="1:45" ht="12.75" customHeight="1">
      <c r="A500" s="3"/>
      <c r="B500" s="3"/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2"/>
    </row>
    <row r="501" spans="1:45" ht="12.75" customHeight="1">
      <c r="A501" s="3"/>
      <c r="B501" s="3"/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2"/>
    </row>
    <row r="502" spans="1:45" ht="12.75" customHeight="1">
      <c r="A502" s="3"/>
      <c r="B502" s="3"/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2"/>
    </row>
    <row r="503" spans="1:45" ht="12.75" customHeight="1">
      <c r="A503" s="3"/>
      <c r="B503" s="3"/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2"/>
    </row>
    <row r="504" spans="1:45" ht="12.75" customHeight="1">
      <c r="A504" s="3"/>
      <c r="B504" s="3"/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2"/>
    </row>
    <row r="505" spans="1:45" ht="12.75" customHeight="1">
      <c r="A505" s="3"/>
      <c r="B505" s="3"/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2"/>
    </row>
    <row r="506" spans="1:45" ht="12.75" customHeight="1">
      <c r="A506" s="3"/>
      <c r="B506" s="3"/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2"/>
    </row>
    <row r="507" spans="1:45" ht="12.75" customHeight="1">
      <c r="A507" s="3"/>
      <c r="B507" s="3"/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2"/>
    </row>
    <row r="508" spans="1:45" ht="12.75" customHeight="1">
      <c r="A508" s="3"/>
      <c r="B508" s="3"/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2"/>
    </row>
    <row r="509" spans="1:45" ht="12.75" customHeight="1">
      <c r="A509" s="3"/>
      <c r="B509" s="3"/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2"/>
    </row>
    <row r="510" spans="1:45" ht="12.75" customHeight="1">
      <c r="A510" s="3"/>
      <c r="B510" s="3"/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2"/>
    </row>
    <row r="511" spans="1:45" ht="12.75" customHeight="1">
      <c r="A511" s="3"/>
      <c r="B511" s="3"/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2"/>
    </row>
    <row r="512" spans="1:45" ht="12.75" customHeight="1">
      <c r="A512" s="3"/>
      <c r="B512" s="3"/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2"/>
    </row>
    <row r="513" spans="1:45" ht="12.75" customHeight="1">
      <c r="A513" s="3"/>
      <c r="B513" s="3"/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2"/>
    </row>
    <row r="514" spans="1:45" ht="12.75" customHeight="1">
      <c r="A514" s="3"/>
      <c r="B514" s="3"/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2"/>
    </row>
    <row r="515" spans="1:45" ht="12.75" customHeight="1">
      <c r="A515" s="3"/>
      <c r="B515" s="3"/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2"/>
    </row>
    <row r="516" spans="1:45" ht="12.75" customHeight="1">
      <c r="A516" s="3"/>
      <c r="B516" s="3"/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2"/>
    </row>
    <row r="517" spans="1:45" ht="12.75" customHeight="1">
      <c r="A517" s="3"/>
      <c r="B517" s="3"/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2"/>
    </row>
    <row r="518" spans="1:45" ht="12.75" customHeight="1">
      <c r="A518" s="3"/>
      <c r="B518" s="3"/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2"/>
    </row>
    <row r="519" spans="1:45" ht="12.75" customHeight="1">
      <c r="A519" s="3"/>
      <c r="B519" s="3"/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2"/>
    </row>
    <row r="520" spans="1:45" ht="12.75" customHeight="1">
      <c r="A520" s="3"/>
      <c r="B520" s="3"/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2"/>
    </row>
    <row r="521" spans="1:45" ht="12.75" customHeight="1">
      <c r="A521" s="3"/>
      <c r="B521" s="3"/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2"/>
    </row>
    <row r="522" spans="1:45" ht="12.75" customHeight="1">
      <c r="A522" s="3"/>
      <c r="B522" s="3"/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2"/>
    </row>
    <row r="523" spans="1:45" ht="12.75" customHeight="1">
      <c r="A523" s="3"/>
      <c r="B523" s="3"/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2"/>
    </row>
    <row r="524" spans="1:45" ht="12.75" customHeight="1">
      <c r="A524" s="3"/>
      <c r="B524" s="3"/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2"/>
    </row>
    <row r="525" spans="1:45" ht="12.75" customHeight="1">
      <c r="A525" s="3"/>
      <c r="B525" s="3"/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2"/>
    </row>
    <row r="526" spans="1:45" ht="12.75" customHeight="1">
      <c r="A526" s="3"/>
      <c r="B526" s="3"/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2"/>
    </row>
    <row r="527" spans="1:45" ht="12.75" customHeight="1">
      <c r="A527" s="3"/>
      <c r="B527" s="3"/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2"/>
    </row>
    <row r="528" spans="1:45" ht="12.75" customHeight="1">
      <c r="A528" s="3"/>
      <c r="B528" s="3"/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2"/>
    </row>
    <row r="529" spans="1:45" ht="12.75" customHeight="1">
      <c r="A529" s="3"/>
      <c r="B529" s="3"/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2"/>
    </row>
    <row r="530" spans="1:45" ht="12.75" customHeight="1">
      <c r="A530" s="3"/>
      <c r="B530" s="3"/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2"/>
    </row>
    <row r="531" spans="1:45" ht="12.75" customHeight="1">
      <c r="A531" s="3"/>
      <c r="B531" s="3"/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2"/>
    </row>
    <row r="532" spans="1:45" ht="12.75" customHeight="1">
      <c r="A532" s="3"/>
      <c r="B532" s="3"/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2"/>
    </row>
    <row r="533" spans="1:45" ht="12.75" customHeight="1">
      <c r="A533" s="3"/>
      <c r="B533" s="3"/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2"/>
    </row>
    <row r="534" spans="1:45" ht="12.75" customHeight="1">
      <c r="A534" s="3"/>
      <c r="B534" s="3"/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2"/>
    </row>
    <row r="535" spans="1:45" ht="12.75" customHeight="1">
      <c r="A535" s="3"/>
      <c r="B535" s="3"/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2"/>
    </row>
    <row r="536" spans="1:45" ht="12.75" customHeight="1">
      <c r="A536" s="3"/>
      <c r="B536" s="3"/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2"/>
    </row>
    <row r="537" spans="1:45" ht="12.75" customHeight="1">
      <c r="A537" s="3"/>
      <c r="B537" s="3"/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2"/>
    </row>
    <row r="538" spans="1:45" ht="12.75" customHeight="1">
      <c r="A538" s="3"/>
      <c r="B538" s="3"/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2"/>
    </row>
    <row r="539" spans="1:45" ht="12.75" customHeight="1">
      <c r="A539" s="3"/>
      <c r="B539" s="3"/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2"/>
    </row>
    <row r="540" spans="1:45" ht="12.75" customHeight="1">
      <c r="A540" s="3"/>
      <c r="B540" s="3"/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2"/>
    </row>
    <row r="541" spans="1:45" ht="12.75" customHeight="1">
      <c r="A541" s="3"/>
      <c r="B541" s="3"/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2"/>
    </row>
    <row r="542" spans="1:45" ht="12.75" customHeight="1">
      <c r="A542" s="3"/>
      <c r="B542" s="3"/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2"/>
    </row>
    <row r="543" spans="1:45" ht="12.75" customHeight="1">
      <c r="A543" s="3"/>
      <c r="B543" s="3"/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2"/>
    </row>
    <row r="544" spans="1:45" ht="12.75" customHeight="1">
      <c r="A544" s="3"/>
      <c r="B544" s="3"/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2"/>
    </row>
    <row r="545" spans="1:45" ht="12.75" customHeight="1">
      <c r="A545" s="3"/>
      <c r="B545" s="3"/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2"/>
    </row>
    <row r="546" spans="1:45" ht="12.75" customHeight="1">
      <c r="A546" s="3"/>
      <c r="B546" s="3"/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2"/>
    </row>
    <row r="547" spans="1:45" ht="12.75" customHeight="1">
      <c r="A547" s="3"/>
      <c r="B547" s="3"/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2"/>
    </row>
    <row r="548" spans="1:45" ht="12.75" customHeight="1">
      <c r="A548" s="3"/>
      <c r="B548" s="3"/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2"/>
    </row>
    <row r="549" spans="1:45" ht="12.75" customHeight="1">
      <c r="A549" s="3"/>
      <c r="B549" s="3"/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2"/>
    </row>
    <row r="550" spans="1:45" ht="12.75" customHeight="1">
      <c r="A550" s="3"/>
      <c r="B550" s="3"/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2"/>
    </row>
    <row r="551" spans="1:45" ht="12.75" customHeight="1">
      <c r="A551" s="3"/>
      <c r="B551" s="3"/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2"/>
    </row>
    <row r="552" spans="1:45" ht="12.75" customHeight="1">
      <c r="A552" s="3"/>
      <c r="B552" s="3"/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2"/>
    </row>
    <row r="553" spans="1:45" ht="12.75" customHeight="1">
      <c r="A553" s="3"/>
      <c r="B553" s="3"/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2"/>
    </row>
    <row r="554" spans="1:45" ht="12.75" customHeight="1">
      <c r="A554" s="3"/>
      <c r="B554" s="3"/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2"/>
    </row>
    <row r="555" spans="1:45" ht="12.75" customHeight="1">
      <c r="A555" s="3"/>
      <c r="B555" s="3"/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2"/>
    </row>
    <row r="556" spans="1:45" ht="12.75" customHeight="1">
      <c r="A556" s="3"/>
      <c r="B556" s="3"/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2"/>
    </row>
    <row r="557" spans="1:45" ht="12.75" customHeight="1">
      <c r="A557" s="3"/>
      <c r="B557" s="3"/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2"/>
    </row>
    <row r="558" spans="1:45" ht="12.75" customHeight="1">
      <c r="A558" s="3"/>
      <c r="B558" s="3"/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2"/>
    </row>
    <row r="559" spans="1:45" ht="12.75" customHeight="1">
      <c r="A559" s="3"/>
      <c r="B559" s="3"/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2"/>
    </row>
    <row r="560" spans="1:45" ht="12.75" customHeight="1">
      <c r="A560" s="3"/>
      <c r="B560" s="3"/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2"/>
    </row>
    <row r="561" spans="1:45" ht="12.75" customHeight="1">
      <c r="A561" s="3"/>
      <c r="B561" s="3"/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2"/>
    </row>
    <row r="562" spans="1:45" ht="12.75" customHeight="1">
      <c r="A562" s="3"/>
      <c r="B562" s="3"/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2"/>
    </row>
    <row r="563" spans="1:45" ht="12.75" customHeight="1">
      <c r="A563" s="3"/>
      <c r="B563" s="3"/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2"/>
    </row>
    <row r="564" spans="1:45" ht="12.75" customHeight="1">
      <c r="A564" s="3"/>
      <c r="B564" s="3"/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2"/>
    </row>
    <row r="565" spans="1:45" ht="12.75" customHeight="1">
      <c r="A565" s="3"/>
      <c r="B565" s="3"/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2"/>
    </row>
    <row r="566" spans="1:45" ht="12.75" customHeight="1">
      <c r="A566" s="3"/>
      <c r="B566" s="3"/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2"/>
    </row>
    <row r="567" spans="1:45" ht="12.75" customHeight="1">
      <c r="A567" s="3"/>
      <c r="B567" s="3"/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2"/>
    </row>
    <row r="568" spans="1:45" ht="12.75" customHeight="1">
      <c r="A568" s="3"/>
      <c r="B568" s="3"/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2"/>
    </row>
    <row r="569" spans="1:45" ht="12.75" customHeight="1">
      <c r="A569" s="3"/>
      <c r="B569" s="3"/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2"/>
    </row>
    <row r="570" spans="1:45" ht="12.75" customHeight="1">
      <c r="A570" s="3"/>
      <c r="B570" s="3"/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2"/>
    </row>
    <row r="571" spans="1:45" ht="12.75" customHeight="1">
      <c r="A571" s="3"/>
      <c r="B571" s="3"/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2"/>
    </row>
    <row r="572" spans="1:45" ht="12.75" customHeight="1">
      <c r="A572" s="3"/>
      <c r="B572" s="3"/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2"/>
    </row>
    <row r="573" spans="1:45" ht="12.75" customHeight="1">
      <c r="A573" s="3"/>
      <c r="B573" s="3"/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2"/>
    </row>
    <row r="574" spans="1:45" ht="12.75" customHeight="1">
      <c r="A574" s="3"/>
      <c r="B574" s="3"/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2"/>
    </row>
    <row r="575" spans="1:45" ht="12.75" customHeight="1">
      <c r="A575" s="3"/>
      <c r="B575" s="3"/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2"/>
    </row>
    <row r="576" spans="1:45" ht="12.75" customHeight="1">
      <c r="A576" s="3"/>
      <c r="B576" s="3"/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2"/>
    </row>
    <row r="577" spans="1:45" ht="12.75" customHeight="1">
      <c r="A577" s="3"/>
      <c r="B577" s="3"/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2"/>
    </row>
    <row r="578" spans="1:45" ht="12.75" customHeight="1">
      <c r="A578" s="3"/>
      <c r="B578" s="3"/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2"/>
    </row>
    <row r="579" spans="1:45" ht="12.75" customHeight="1">
      <c r="A579" s="3"/>
      <c r="B579" s="3"/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2"/>
    </row>
    <row r="580" spans="1:45" ht="12.75" customHeight="1">
      <c r="A580" s="3"/>
      <c r="B580" s="3"/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2"/>
    </row>
    <row r="581" spans="1:45" ht="12.75" customHeight="1">
      <c r="A581" s="3"/>
      <c r="B581" s="3"/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2"/>
    </row>
    <row r="582" spans="1:45" ht="12.75" customHeight="1">
      <c r="A582" s="3"/>
      <c r="B582" s="3"/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2"/>
    </row>
    <row r="583" spans="1:45" ht="12.75" customHeight="1">
      <c r="A583" s="3"/>
      <c r="B583" s="3"/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2"/>
    </row>
    <row r="584" spans="1:45" ht="12.75" customHeight="1">
      <c r="A584" s="3"/>
      <c r="B584" s="3"/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2"/>
    </row>
    <row r="585" spans="1:45" ht="12.75" customHeight="1">
      <c r="A585" s="3"/>
      <c r="B585" s="3"/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2"/>
    </row>
    <row r="586" spans="1:45" ht="12.75" customHeight="1">
      <c r="A586" s="3"/>
      <c r="B586" s="3"/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2"/>
    </row>
    <row r="587" spans="1:45" ht="12.75" customHeight="1">
      <c r="A587" s="3"/>
      <c r="B587" s="3"/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2"/>
    </row>
    <row r="588" spans="1:45" ht="12.75" customHeight="1">
      <c r="A588" s="3"/>
      <c r="B588" s="3"/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2"/>
    </row>
    <row r="589" spans="1:45" ht="12.75" customHeight="1">
      <c r="A589" s="3"/>
      <c r="B589" s="3"/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2"/>
    </row>
    <row r="590" spans="1:45" ht="12.75" customHeight="1">
      <c r="A590" s="3"/>
      <c r="B590" s="3"/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2"/>
    </row>
    <row r="591" spans="1:45" ht="12.75" customHeight="1">
      <c r="A591" s="3"/>
      <c r="B591" s="3"/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2"/>
    </row>
    <row r="592" spans="1:45" ht="12.75" customHeight="1">
      <c r="A592" s="3"/>
      <c r="B592" s="3"/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2"/>
    </row>
    <row r="593" spans="1:45" ht="12.75" customHeight="1">
      <c r="A593" s="3"/>
      <c r="B593" s="3"/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2"/>
    </row>
    <row r="594" spans="1:45" ht="12.75" customHeight="1">
      <c r="A594" s="3"/>
      <c r="B594" s="3"/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2"/>
    </row>
    <row r="595" spans="1:45" ht="12.75" customHeight="1">
      <c r="A595" s="3"/>
      <c r="B595" s="3"/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2"/>
    </row>
    <row r="596" spans="1:45" ht="12.75" customHeight="1">
      <c r="A596" s="3"/>
      <c r="B596" s="3"/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2"/>
    </row>
    <row r="597" spans="1:45" ht="12.75" customHeight="1">
      <c r="A597" s="3"/>
      <c r="B597" s="3"/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2"/>
    </row>
    <row r="598" spans="1:45" ht="12.75" customHeight="1">
      <c r="A598" s="3"/>
      <c r="B598" s="3"/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2"/>
    </row>
    <row r="599" spans="1:45" ht="12.75" customHeight="1">
      <c r="A599" s="3"/>
      <c r="B599" s="3"/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2"/>
    </row>
    <row r="600" spans="1:45" ht="12.75" customHeight="1">
      <c r="A600" s="3"/>
      <c r="B600" s="3"/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2"/>
    </row>
    <row r="601" spans="1:45" ht="12.75" customHeight="1">
      <c r="A601" s="3"/>
      <c r="B601" s="3"/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2"/>
    </row>
    <row r="602" spans="1:45" ht="12.75" customHeight="1">
      <c r="A602" s="3"/>
      <c r="B602" s="3"/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2"/>
    </row>
    <row r="603" spans="1:45" ht="12.75" customHeight="1">
      <c r="A603" s="3"/>
      <c r="B603" s="3"/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2"/>
    </row>
    <row r="604" spans="1:45" ht="12.75" customHeight="1">
      <c r="A604" s="3"/>
      <c r="B604" s="3"/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2"/>
    </row>
    <row r="605" spans="1:45" ht="12.75" customHeight="1">
      <c r="A605" s="3"/>
      <c r="B605" s="3"/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2"/>
    </row>
    <row r="606" spans="1:45" ht="12.75" customHeight="1">
      <c r="A606" s="3"/>
      <c r="B606" s="3"/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2"/>
    </row>
    <row r="607" spans="1:45" ht="12.75" customHeight="1">
      <c r="A607" s="3"/>
      <c r="B607" s="3"/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2"/>
    </row>
    <row r="608" spans="1:45" ht="12.75" customHeight="1">
      <c r="A608" s="3"/>
      <c r="B608" s="3"/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2"/>
    </row>
    <row r="609" spans="1:45" ht="12.75" customHeight="1">
      <c r="A609" s="3"/>
      <c r="B609" s="3"/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2"/>
    </row>
    <row r="610" spans="1:45" ht="12.75" customHeight="1">
      <c r="A610" s="3"/>
      <c r="B610" s="3"/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2"/>
    </row>
    <row r="611" spans="1:45" ht="12.75" customHeight="1">
      <c r="A611" s="3"/>
      <c r="B611" s="3"/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2"/>
    </row>
    <row r="612" spans="1:45" ht="12.75" customHeight="1">
      <c r="A612" s="3"/>
      <c r="B612" s="3"/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2"/>
    </row>
    <row r="613" spans="1:45" ht="12.75" customHeight="1">
      <c r="A613" s="3"/>
      <c r="B613" s="3"/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2"/>
    </row>
    <row r="614" spans="1:45" ht="12.75" customHeight="1">
      <c r="A614" s="3"/>
      <c r="B614" s="3"/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2"/>
    </row>
    <row r="615" spans="1:45" ht="12.75" customHeight="1">
      <c r="A615" s="3"/>
      <c r="B615" s="3"/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2"/>
    </row>
    <row r="616" spans="1:45" ht="12.75" customHeight="1">
      <c r="A616" s="3"/>
      <c r="B616" s="3"/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2"/>
    </row>
    <row r="617" spans="1:45" ht="12.75" customHeight="1">
      <c r="A617" s="3"/>
      <c r="B617" s="3"/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2"/>
    </row>
    <row r="618" spans="1:45" ht="12.75" customHeight="1">
      <c r="A618" s="3"/>
      <c r="B618" s="3"/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2"/>
    </row>
    <row r="619" spans="1:45" ht="12.75" customHeight="1">
      <c r="A619" s="3"/>
      <c r="B619" s="3"/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2"/>
    </row>
    <row r="620" spans="1:45" ht="12.75" customHeight="1">
      <c r="A620" s="3"/>
      <c r="B620" s="3"/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2"/>
    </row>
    <row r="621" spans="1:45" ht="12.75" customHeight="1">
      <c r="A621" s="3"/>
      <c r="B621" s="3"/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2"/>
    </row>
    <row r="622" spans="1:45" ht="12.75" customHeight="1">
      <c r="A622" s="3"/>
      <c r="B622" s="3"/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2"/>
    </row>
    <row r="623" spans="1:45" ht="12.75" customHeight="1">
      <c r="A623" s="3"/>
      <c r="B623" s="3"/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2"/>
    </row>
    <row r="624" spans="1:45" ht="12.75" customHeight="1">
      <c r="A624" s="3"/>
      <c r="B624" s="3"/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2"/>
    </row>
    <row r="625" spans="1:45" ht="12.75" customHeight="1">
      <c r="A625" s="3"/>
      <c r="B625" s="3"/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2"/>
    </row>
    <row r="626" spans="1:45" ht="12.75" customHeight="1">
      <c r="A626" s="3"/>
      <c r="B626" s="3"/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2"/>
    </row>
    <row r="627" spans="1:45" ht="12.75" customHeight="1">
      <c r="A627" s="3"/>
      <c r="B627" s="3"/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2"/>
    </row>
    <row r="628" spans="1:45" ht="12.75" customHeight="1">
      <c r="A628" s="3"/>
      <c r="B628" s="3"/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2"/>
    </row>
    <row r="629" spans="1:45" ht="12.75" customHeight="1">
      <c r="A629" s="3"/>
      <c r="B629" s="3"/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2"/>
    </row>
    <row r="630" spans="1:45" ht="12.75" customHeight="1">
      <c r="A630" s="3"/>
      <c r="B630" s="3"/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2"/>
    </row>
    <row r="631" spans="1:45" ht="12.75" customHeight="1">
      <c r="A631" s="3"/>
      <c r="B631" s="3"/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2"/>
    </row>
    <row r="632" spans="1:45" ht="12.75" customHeight="1">
      <c r="A632" s="3"/>
      <c r="B632" s="3"/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2"/>
    </row>
    <row r="633" spans="1:45" ht="12.75" customHeight="1">
      <c r="A633" s="3"/>
      <c r="B633" s="3"/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2"/>
    </row>
    <row r="634" spans="1:45" ht="12.75" customHeight="1">
      <c r="A634" s="3"/>
      <c r="B634" s="3"/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2"/>
    </row>
    <row r="635" spans="1:45" ht="12.75" customHeight="1">
      <c r="A635" s="3"/>
      <c r="B635" s="3"/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2"/>
    </row>
    <row r="636" spans="1:45" ht="12.75" customHeight="1">
      <c r="A636" s="3"/>
      <c r="B636" s="3"/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2"/>
    </row>
    <row r="637" spans="1:45" ht="12.75" customHeight="1">
      <c r="A637" s="3"/>
      <c r="B637" s="3"/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2"/>
    </row>
    <row r="638" spans="1:45" ht="12.75" customHeight="1">
      <c r="A638" s="3"/>
      <c r="B638" s="3"/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2"/>
    </row>
    <row r="639" spans="1:45" ht="12.75" customHeight="1">
      <c r="A639" s="3"/>
      <c r="B639" s="3"/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2"/>
    </row>
    <row r="640" spans="1:45" ht="12.75" customHeight="1">
      <c r="A640" s="3"/>
      <c r="B640" s="3"/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2"/>
    </row>
    <row r="641" spans="1:45" ht="12.75" customHeight="1">
      <c r="A641" s="3"/>
      <c r="B641" s="3"/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2"/>
    </row>
    <row r="642" spans="1:45" ht="12.75" customHeight="1">
      <c r="A642" s="3"/>
      <c r="B642" s="3"/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2"/>
    </row>
    <row r="643" spans="1:45" ht="12.75" customHeight="1">
      <c r="A643" s="3"/>
      <c r="B643" s="3"/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2"/>
    </row>
    <row r="644" spans="1:45" ht="12.75" customHeight="1">
      <c r="A644" s="3"/>
      <c r="B644" s="3"/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2"/>
    </row>
    <row r="645" spans="1:45" ht="12.75" customHeight="1">
      <c r="A645" s="3"/>
      <c r="B645" s="3"/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2"/>
    </row>
    <row r="646" spans="1:45" ht="12.75" customHeight="1">
      <c r="A646" s="3"/>
      <c r="B646" s="3"/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2"/>
    </row>
    <row r="647" spans="1:45" ht="12.75" customHeight="1">
      <c r="A647" s="3"/>
      <c r="B647" s="3"/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2"/>
    </row>
    <row r="648" spans="1:45" ht="12.75" customHeight="1">
      <c r="A648" s="3"/>
      <c r="B648" s="3"/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2"/>
    </row>
    <row r="649" spans="1:45" ht="12.75" customHeight="1">
      <c r="A649" s="3"/>
      <c r="B649" s="3"/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2"/>
    </row>
    <row r="650" spans="1:45" ht="12.75" customHeight="1">
      <c r="A650" s="3"/>
      <c r="B650" s="3"/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2"/>
    </row>
    <row r="651" spans="1:45" ht="12.75" customHeight="1">
      <c r="A651" s="3"/>
      <c r="B651" s="3"/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2"/>
    </row>
    <row r="652" spans="1:45" ht="12.75" customHeight="1">
      <c r="A652" s="3"/>
      <c r="B652" s="3"/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2"/>
    </row>
    <row r="653" spans="1:45" ht="12.75" customHeight="1">
      <c r="A653" s="3"/>
      <c r="B653" s="3"/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2"/>
    </row>
    <row r="654" spans="1:45" ht="12.75" customHeight="1">
      <c r="A654" s="3"/>
      <c r="B654" s="3"/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2"/>
    </row>
    <row r="655" spans="1:45" ht="12.75" customHeight="1">
      <c r="A655" s="3"/>
      <c r="B655" s="3"/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2"/>
    </row>
    <row r="656" spans="1:45" ht="12.75" customHeight="1">
      <c r="A656" s="3"/>
      <c r="B656" s="3"/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2"/>
    </row>
    <row r="657" spans="1:45" ht="12.75" customHeight="1">
      <c r="A657" s="3"/>
      <c r="B657" s="3"/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2"/>
    </row>
    <row r="658" spans="1:45" ht="12.75" customHeight="1">
      <c r="A658" s="3"/>
      <c r="B658" s="3"/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2"/>
    </row>
    <row r="659" spans="1:45" ht="12.75" customHeight="1">
      <c r="A659" s="3"/>
      <c r="B659" s="3"/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2"/>
    </row>
    <row r="660" spans="1:45" ht="12.75" customHeight="1">
      <c r="A660" s="3"/>
      <c r="B660" s="3"/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2"/>
    </row>
    <row r="661" spans="1:45" ht="12.75" customHeight="1">
      <c r="A661" s="3"/>
      <c r="B661" s="3"/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2"/>
    </row>
    <row r="662" spans="1:45" ht="12.75" customHeight="1">
      <c r="A662" s="3"/>
      <c r="B662" s="3"/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2"/>
    </row>
    <row r="663" spans="1:45" ht="12.75" customHeight="1">
      <c r="A663" s="3"/>
      <c r="B663" s="3"/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2"/>
    </row>
    <row r="664" spans="1:45" ht="12.75" customHeight="1">
      <c r="A664" s="3"/>
      <c r="B664" s="3"/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2"/>
    </row>
    <row r="665" spans="1:45" ht="12.75" customHeight="1">
      <c r="A665" s="3"/>
      <c r="B665" s="3"/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2"/>
    </row>
    <row r="666" spans="1:45" ht="12.75" customHeight="1">
      <c r="A666" s="3"/>
      <c r="B666" s="3"/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2"/>
    </row>
    <row r="667" spans="1:45" ht="12.75" customHeight="1">
      <c r="A667" s="3"/>
      <c r="B667" s="3"/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2"/>
    </row>
    <row r="668" spans="1:45" ht="12.75" customHeight="1">
      <c r="A668" s="3"/>
      <c r="B668" s="3"/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2"/>
    </row>
    <row r="669" spans="1:45" ht="12.75" customHeight="1">
      <c r="A669" s="3"/>
      <c r="B669" s="3"/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2"/>
    </row>
    <row r="670" spans="1:45" ht="12.75" customHeight="1">
      <c r="A670" s="3"/>
      <c r="B670" s="3"/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2"/>
    </row>
    <row r="671" spans="1:45" ht="12.75" customHeight="1">
      <c r="A671" s="3"/>
      <c r="B671" s="3"/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2"/>
    </row>
    <row r="672" spans="1:45" ht="12.75" customHeight="1">
      <c r="A672" s="3"/>
      <c r="B672" s="3"/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2"/>
    </row>
    <row r="673" spans="1:45" ht="12.75" customHeight="1">
      <c r="A673" s="3"/>
      <c r="B673" s="3"/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2"/>
    </row>
    <row r="674" spans="1:45" ht="12.75" customHeight="1">
      <c r="A674" s="3"/>
      <c r="B674" s="3"/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2"/>
    </row>
    <row r="675" spans="1:45" ht="12.75" customHeight="1">
      <c r="A675" s="3"/>
      <c r="B675" s="3"/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2"/>
    </row>
    <row r="676" spans="1:45" ht="12.75" customHeight="1">
      <c r="A676" s="3"/>
      <c r="B676" s="3"/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2"/>
    </row>
    <row r="677" spans="1:45" ht="12.75" customHeight="1">
      <c r="A677" s="3"/>
      <c r="B677" s="3"/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2"/>
    </row>
    <row r="678" spans="1:45" ht="12.75" customHeight="1">
      <c r="A678" s="3"/>
      <c r="B678" s="3"/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2"/>
    </row>
    <row r="679" spans="1:45" ht="12.75" customHeight="1">
      <c r="A679" s="3"/>
      <c r="B679" s="3"/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2"/>
    </row>
    <row r="680" spans="1:45" ht="12.75" customHeight="1">
      <c r="A680" s="3"/>
      <c r="B680" s="3"/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2"/>
    </row>
    <row r="681" spans="1:45" ht="12.75" customHeight="1">
      <c r="A681" s="3"/>
      <c r="B681" s="3"/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2"/>
    </row>
    <row r="682" spans="1:45" ht="12.75" customHeight="1">
      <c r="A682" s="3"/>
      <c r="B682" s="3"/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2"/>
    </row>
    <row r="683" spans="1:45" ht="12.75" customHeight="1">
      <c r="A683" s="3"/>
      <c r="B683" s="3"/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2"/>
    </row>
    <row r="684" spans="1:45" ht="12.75" customHeight="1">
      <c r="A684" s="3"/>
      <c r="B684" s="3"/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2"/>
    </row>
    <row r="685" spans="1:45" ht="12.75" customHeight="1">
      <c r="A685" s="3"/>
      <c r="B685" s="3"/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2"/>
    </row>
    <row r="686" spans="1:45" ht="12.75" customHeight="1">
      <c r="A686" s="3"/>
      <c r="B686" s="3"/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2"/>
    </row>
    <row r="687" spans="1:45" ht="12.75" customHeight="1">
      <c r="A687" s="3"/>
      <c r="B687" s="3"/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2"/>
    </row>
    <row r="688" spans="1:45" ht="12.75" customHeight="1">
      <c r="A688" s="3"/>
      <c r="B688" s="3"/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2"/>
    </row>
    <row r="689" spans="1:45" ht="12.75" customHeight="1">
      <c r="A689" s="3"/>
      <c r="B689" s="3"/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2"/>
    </row>
    <row r="690" spans="1:45" ht="12.75" customHeight="1">
      <c r="A690" s="3"/>
      <c r="B690" s="3"/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2"/>
    </row>
    <row r="691" spans="1:45" ht="12.75" customHeight="1">
      <c r="A691" s="3"/>
      <c r="B691" s="3"/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2"/>
    </row>
    <row r="692" spans="1:45" ht="12.75" customHeight="1">
      <c r="A692" s="3"/>
      <c r="B692" s="3"/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2"/>
    </row>
    <row r="693" spans="1:45" ht="12.75" customHeight="1">
      <c r="A693" s="3"/>
      <c r="B693" s="3"/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2"/>
    </row>
    <row r="694" spans="1:45" ht="12.75" customHeight="1">
      <c r="A694" s="3"/>
      <c r="B694" s="3"/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2"/>
    </row>
    <row r="695" spans="1:45" ht="12.75" customHeight="1">
      <c r="A695" s="3"/>
      <c r="B695" s="3"/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2"/>
    </row>
    <row r="696" spans="1:45" ht="12.75" customHeight="1">
      <c r="A696" s="3"/>
      <c r="B696" s="3"/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2"/>
    </row>
    <row r="697" spans="1:45" ht="12.75" customHeight="1">
      <c r="A697" s="3"/>
      <c r="B697" s="3"/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2"/>
    </row>
    <row r="698" spans="1:45" ht="12.75" customHeight="1">
      <c r="A698" s="3"/>
      <c r="B698" s="3"/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2"/>
    </row>
    <row r="699" spans="1:45" ht="12.75" customHeight="1">
      <c r="A699" s="3"/>
      <c r="B699" s="3"/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2"/>
    </row>
    <row r="700" spans="1:45" ht="12.75" customHeight="1">
      <c r="A700" s="3"/>
      <c r="B700" s="3"/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2"/>
    </row>
    <row r="701" spans="1:45" ht="12.75" customHeight="1">
      <c r="A701" s="3"/>
      <c r="B701" s="3"/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2"/>
    </row>
    <row r="702" spans="1:45" ht="12.75" customHeight="1">
      <c r="A702" s="3"/>
      <c r="B702" s="3"/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2"/>
    </row>
    <row r="703" spans="1:45" ht="12.75" customHeight="1">
      <c r="A703" s="3"/>
      <c r="B703" s="3"/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2"/>
    </row>
    <row r="704" spans="1:45" ht="12.75" customHeight="1">
      <c r="A704" s="3"/>
      <c r="B704" s="3"/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2"/>
    </row>
    <row r="705" spans="1:45" ht="12.75" customHeight="1">
      <c r="A705" s="3"/>
      <c r="B705" s="3"/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2"/>
    </row>
    <row r="706" spans="1:45" ht="12.75" customHeight="1">
      <c r="A706" s="3"/>
      <c r="B706" s="3"/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2"/>
    </row>
    <row r="707" spans="1:45" ht="12.75" customHeight="1">
      <c r="A707" s="3"/>
      <c r="B707" s="3"/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2"/>
    </row>
    <row r="708" spans="1:45" ht="12.75" customHeight="1">
      <c r="A708" s="3"/>
      <c r="B708" s="3"/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2"/>
    </row>
    <row r="709" spans="1:45" ht="12.75" customHeight="1">
      <c r="A709" s="3"/>
      <c r="B709" s="3"/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2"/>
    </row>
    <row r="710" spans="1:45" ht="12.75" customHeight="1">
      <c r="A710" s="3"/>
      <c r="B710" s="3"/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2"/>
    </row>
    <row r="711" spans="1:45" ht="12.75" customHeight="1">
      <c r="A711" s="3"/>
      <c r="B711" s="3"/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2"/>
    </row>
    <row r="712" spans="1:45" ht="12.75" customHeight="1">
      <c r="A712" s="3"/>
      <c r="B712" s="3"/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2"/>
    </row>
    <row r="713" spans="1:45" ht="12.75" customHeight="1">
      <c r="A713" s="3"/>
      <c r="B713" s="3"/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2"/>
    </row>
    <row r="714" spans="1:45" ht="12.75" customHeight="1">
      <c r="A714" s="3"/>
      <c r="B714" s="3"/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2"/>
    </row>
    <row r="715" spans="1:45" ht="12.75" customHeight="1">
      <c r="A715" s="3"/>
      <c r="B715" s="3"/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2"/>
    </row>
    <row r="716" spans="1:45" ht="12.75" customHeight="1">
      <c r="A716" s="3"/>
      <c r="B716" s="3"/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2"/>
    </row>
    <row r="717" spans="1:45" ht="12.75" customHeight="1">
      <c r="A717" s="3"/>
      <c r="B717" s="3"/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2"/>
    </row>
    <row r="718" spans="1:45" ht="12.75" customHeight="1">
      <c r="A718" s="3"/>
      <c r="B718" s="3"/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2"/>
    </row>
    <row r="719" spans="1:45" ht="12.75" customHeight="1">
      <c r="A719" s="3"/>
      <c r="B719" s="3"/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2"/>
    </row>
    <row r="720" spans="1:45" ht="12.75" customHeight="1">
      <c r="A720" s="3"/>
      <c r="B720" s="3"/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2"/>
    </row>
    <row r="721" spans="1:45" ht="12.75" customHeight="1">
      <c r="A721" s="3"/>
      <c r="B721" s="3"/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2"/>
    </row>
    <row r="722" spans="1:45" ht="12.75" customHeight="1">
      <c r="A722" s="3"/>
      <c r="B722" s="3"/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2"/>
    </row>
    <row r="723" spans="1:45" ht="12.75" customHeight="1">
      <c r="A723" s="3"/>
      <c r="B723" s="3"/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2"/>
    </row>
    <row r="724" spans="1:45" ht="12.75" customHeight="1">
      <c r="A724" s="3"/>
      <c r="B724" s="3"/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2"/>
    </row>
    <row r="725" spans="1:45" ht="12.75" customHeight="1">
      <c r="A725" s="3"/>
      <c r="B725" s="3"/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2"/>
    </row>
    <row r="726" spans="1:45" ht="12.75" customHeight="1">
      <c r="A726" s="3"/>
      <c r="B726" s="3"/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2"/>
    </row>
    <row r="727" spans="1:45" ht="12.75" customHeight="1">
      <c r="A727" s="3"/>
      <c r="B727" s="3"/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2"/>
    </row>
    <row r="728" spans="1:45" ht="12.75" customHeight="1">
      <c r="A728" s="3"/>
      <c r="B728" s="3"/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2"/>
    </row>
    <row r="729" spans="1:45" ht="12.75" customHeight="1">
      <c r="A729" s="3"/>
      <c r="B729" s="3"/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2"/>
    </row>
    <row r="730" spans="1:45" ht="12.75" customHeight="1">
      <c r="A730" s="3"/>
      <c r="B730" s="3"/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2"/>
    </row>
    <row r="731" spans="1:45" ht="12.75" customHeight="1">
      <c r="A731" s="3"/>
      <c r="B731" s="3"/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2"/>
    </row>
    <row r="732" spans="1:45" ht="12.75" customHeight="1">
      <c r="A732" s="3"/>
      <c r="B732" s="3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2"/>
    </row>
    <row r="733" spans="1:45" ht="12.75" customHeight="1">
      <c r="A733" s="3"/>
      <c r="B733" s="3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2"/>
    </row>
    <row r="734" spans="1:45" ht="12.75" customHeight="1">
      <c r="A734" s="3"/>
      <c r="B734" s="3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2"/>
    </row>
    <row r="735" spans="1:45" ht="12.75" customHeight="1">
      <c r="A735" s="3"/>
      <c r="B735" s="3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2"/>
    </row>
    <row r="736" spans="1:45" ht="12.75" customHeight="1">
      <c r="A736" s="3"/>
      <c r="B736" s="3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2"/>
    </row>
    <row r="737" spans="1:45" ht="12.75" customHeight="1">
      <c r="A737" s="3"/>
      <c r="B737" s="3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2"/>
    </row>
    <row r="738" spans="1:45" ht="12.75" customHeight="1">
      <c r="A738" s="3"/>
      <c r="B738" s="3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2"/>
    </row>
    <row r="739" spans="1:45" ht="12.75" customHeight="1">
      <c r="A739" s="3"/>
      <c r="B739" s="3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2"/>
    </row>
    <row r="740" spans="1:45" ht="12.75" customHeight="1">
      <c r="A740" s="3"/>
      <c r="B740" s="3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2"/>
    </row>
    <row r="741" spans="1:45" ht="12.75" customHeight="1">
      <c r="A741" s="3"/>
      <c r="B741" s="3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2"/>
    </row>
    <row r="742" spans="1:45" ht="12.75" customHeight="1">
      <c r="A742" s="3"/>
      <c r="B742" s="3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2"/>
    </row>
    <row r="743" spans="1:45" ht="12.75" customHeight="1">
      <c r="A743" s="3"/>
      <c r="B743" s="3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2"/>
    </row>
    <row r="744" spans="1:45" ht="12.75" customHeight="1">
      <c r="A744" s="3"/>
      <c r="B744" s="3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2"/>
    </row>
    <row r="745" spans="1:45" ht="12.75" customHeight="1">
      <c r="A745" s="3"/>
      <c r="B745" s="3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2"/>
    </row>
    <row r="746" spans="1:45" ht="12.75" customHeight="1">
      <c r="A746" s="3"/>
      <c r="B746" s="3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2"/>
    </row>
    <row r="747" spans="1:45" ht="12.75" customHeight="1">
      <c r="A747" s="3"/>
      <c r="B747" s="3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2"/>
    </row>
    <row r="748" spans="1:45" ht="12.75" customHeight="1">
      <c r="A748" s="3"/>
      <c r="B748" s="3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2"/>
    </row>
    <row r="749" spans="1:45" ht="12.75" customHeight="1">
      <c r="A749" s="3"/>
      <c r="B749" s="3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2"/>
    </row>
    <row r="750" spans="1:45" ht="12.75" customHeight="1">
      <c r="A750" s="3"/>
      <c r="B750" s="3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2"/>
    </row>
    <row r="751" spans="1:45" ht="12.75" customHeight="1">
      <c r="A751" s="3"/>
      <c r="B751" s="3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2"/>
    </row>
    <row r="752" spans="1:45" ht="12.75" customHeight="1">
      <c r="A752" s="3"/>
      <c r="B752" s="3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2"/>
    </row>
    <row r="753" spans="1:45" ht="12.75" customHeight="1">
      <c r="A753" s="3"/>
      <c r="B753" s="3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2"/>
    </row>
    <row r="754" spans="1:45" ht="12.75" customHeight="1">
      <c r="A754" s="3"/>
      <c r="B754" s="3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2"/>
    </row>
    <row r="755" spans="1:45" ht="12.75" customHeight="1">
      <c r="A755" s="3"/>
      <c r="B755" s="3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2"/>
    </row>
    <row r="756" spans="1:45" ht="12.75" customHeight="1">
      <c r="A756" s="3"/>
      <c r="B756" s="3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2"/>
    </row>
    <row r="757" spans="1:45" ht="12.75" customHeight="1">
      <c r="A757" s="3"/>
      <c r="B757" s="3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2"/>
    </row>
    <row r="758" spans="1:45" ht="12.75" customHeight="1">
      <c r="A758" s="3"/>
      <c r="B758" s="3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2"/>
    </row>
    <row r="759" spans="1:45" ht="12.75" customHeight="1">
      <c r="A759" s="3"/>
      <c r="B759" s="3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2"/>
    </row>
    <row r="760" spans="1:45" ht="12.75" customHeight="1">
      <c r="A760" s="3"/>
      <c r="B760" s="3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2"/>
    </row>
    <row r="761" spans="1:45" ht="12.75" customHeight="1">
      <c r="A761" s="3"/>
      <c r="B761" s="3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2"/>
    </row>
    <row r="762" spans="1:45" ht="12.75" customHeight="1">
      <c r="A762" s="3"/>
      <c r="B762" s="3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2"/>
    </row>
    <row r="763" spans="1:45" ht="12.75" customHeight="1">
      <c r="A763" s="3"/>
      <c r="B763" s="3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2"/>
    </row>
    <row r="764" spans="1:45" ht="12.75" customHeight="1">
      <c r="A764" s="3"/>
      <c r="B764" s="3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2"/>
    </row>
    <row r="765" spans="1:45" ht="12.75" customHeight="1">
      <c r="A765" s="3"/>
      <c r="B765" s="3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2"/>
    </row>
    <row r="766" spans="1:45" ht="12.75" customHeight="1">
      <c r="A766" s="3"/>
      <c r="B766" s="3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2"/>
    </row>
    <row r="767" spans="1:45" ht="12.75" customHeight="1">
      <c r="A767" s="3"/>
      <c r="B767" s="3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2"/>
    </row>
    <row r="768" spans="1:45" ht="12.75" customHeight="1">
      <c r="A768" s="3"/>
      <c r="B768" s="3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2"/>
    </row>
    <row r="769" spans="1:45" ht="12.75" customHeight="1">
      <c r="A769" s="3"/>
      <c r="B769" s="3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2"/>
    </row>
    <row r="770" spans="1:45" ht="12.75" customHeight="1">
      <c r="A770" s="3"/>
      <c r="B770" s="3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2"/>
    </row>
    <row r="771" spans="1:45" ht="12.75" customHeight="1">
      <c r="A771" s="3"/>
      <c r="B771" s="3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2"/>
    </row>
    <row r="772" spans="1:45" ht="12.75" customHeight="1">
      <c r="A772" s="3"/>
      <c r="B772" s="3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2"/>
    </row>
    <row r="773" spans="1:45" ht="12.75" customHeight="1">
      <c r="A773" s="3"/>
      <c r="B773" s="3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2"/>
    </row>
    <row r="774" spans="1:45" ht="12.75" customHeight="1">
      <c r="A774" s="3"/>
      <c r="B774" s="3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2"/>
    </row>
    <row r="775" spans="1:45" ht="12.75" customHeight="1">
      <c r="A775" s="3"/>
      <c r="B775" s="3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2"/>
    </row>
    <row r="776" spans="1:45" ht="12.75" customHeight="1">
      <c r="A776" s="3"/>
      <c r="B776" s="3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2"/>
    </row>
    <row r="777" spans="1:45" ht="12.75" customHeight="1">
      <c r="A777" s="3"/>
      <c r="B777" s="3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2"/>
    </row>
    <row r="778" spans="1:45" ht="12.75" customHeight="1">
      <c r="A778" s="3"/>
      <c r="B778" s="3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2"/>
    </row>
    <row r="779" spans="1:45" ht="12.75" customHeight="1">
      <c r="A779" s="3"/>
      <c r="B779" s="3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2"/>
    </row>
    <row r="780" spans="1:45" ht="12.75" customHeight="1">
      <c r="A780" s="3"/>
      <c r="B780" s="3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2"/>
    </row>
    <row r="781" spans="1:45" ht="12.75" customHeight="1">
      <c r="A781" s="3"/>
      <c r="B781" s="3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2"/>
    </row>
    <row r="782" spans="1:45" ht="12.75" customHeight="1">
      <c r="A782" s="3"/>
      <c r="B782" s="3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2"/>
    </row>
    <row r="783" spans="1:45" ht="12.75" customHeight="1">
      <c r="A783" s="3"/>
      <c r="B783" s="3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2"/>
    </row>
    <row r="784" spans="1:45" ht="12.75" customHeight="1">
      <c r="A784" s="3"/>
      <c r="B784" s="3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2"/>
    </row>
    <row r="785" spans="1:45" ht="12.75" customHeight="1">
      <c r="A785" s="3"/>
      <c r="B785" s="3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2"/>
    </row>
    <row r="786" spans="1:45" ht="12.75" customHeight="1">
      <c r="A786" s="3"/>
      <c r="B786" s="3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2"/>
    </row>
    <row r="787" spans="1:45" ht="12.75" customHeight="1">
      <c r="A787" s="3"/>
      <c r="B787" s="3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2"/>
    </row>
    <row r="788" spans="1:45" ht="12.75" customHeight="1">
      <c r="A788" s="3"/>
      <c r="B788" s="3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2"/>
    </row>
    <row r="789" spans="1:45" ht="12.75" customHeight="1">
      <c r="A789" s="3"/>
      <c r="B789" s="3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2"/>
    </row>
    <row r="790" spans="1:45" ht="12.75" customHeight="1">
      <c r="A790" s="3"/>
      <c r="B790" s="3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2"/>
    </row>
    <row r="791" spans="1:45" ht="12.75" customHeight="1">
      <c r="A791" s="3"/>
      <c r="B791" s="3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2"/>
    </row>
    <row r="792" spans="1:45" ht="12.75" customHeight="1">
      <c r="A792" s="3"/>
      <c r="B792" s="3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2"/>
    </row>
    <row r="793" spans="1:45" ht="12.75" customHeight="1">
      <c r="A793" s="3"/>
      <c r="B793" s="3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2"/>
    </row>
    <row r="794" spans="1:45" ht="12.75" customHeight="1">
      <c r="A794" s="3"/>
      <c r="B794" s="3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2"/>
    </row>
    <row r="795" spans="1:45" ht="12.75" customHeight="1">
      <c r="A795" s="3"/>
      <c r="B795" s="3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2"/>
    </row>
    <row r="796" spans="1:45" ht="12.75" customHeight="1">
      <c r="A796" s="3"/>
      <c r="B796" s="3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2"/>
    </row>
    <row r="797" spans="1:45" ht="12.75" customHeight="1">
      <c r="A797" s="3"/>
      <c r="B797" s="3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2"/>
    </row>
    <row r="798" spans="1:45" ht="12.75" customHeight="1">
      <c r="A798" s="3"/>
      <c r="B798" s="3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2"/>
    </row>
    <row r="799" spans="1:45" ht="12.75" customHeight="1">
      <c r="A799" s="3"/>
      <c r="B799" s="3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2"/>
    </row>
    <row r="800" spans="1:45" ht="12.75" customHeight="1">
      <c r="A800" s="3"/>
      <c r="B800" s="3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2"/>
    </row>
    <row r="801" spans="1:45" ht="12.75" customHeight="1">
      <c r="A801" s="3"/>
      <c r="B801" s="3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2"/>
    </row>
    <row r="802" spans="1:45" ht="12.75" customHeight="1">
      <c r="A802" s="3"/>
      <c r="B802" s="3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2"/>
    </row>
    <row r="803" spans="1:45" ht="12.75" customHeight="1">
      <c r="A803" s="3"/>
      <c r="B803" s="3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2"/>
    </row>
    <row r="804" spans="1:45" ht="12.75" customHeight="1">
      <c r="A804" s="3"/>
      <c r="B804" s="3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2"/>
    </row>
    <row r="805" spans="1:45" ht="12.75" customHeight="1">
      <c r="A805" s="3"/>
      <c r="B805" s="3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2"/>
    </row>
    <row r="806" spans="1:45" ht="12.75" customHeight="1">
      <c r="A806" s="3"/>
      <c r="B806" s="3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2"/>
    </row>
    <row r="807" spans="1:45" ht="12.75" customHeight="1">
      <c r="A807" s="3"/>
      <c r="B807" s="3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2"/>
    </row>
    <row r="808" spans="1:45" ht="12.75" customHeight="1">
      <c r="A808" s="3"/>
      <c r="B808" s="3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2"/>
    </row>
    <row r="809" spans="1:45" ht="12.75" customHeight="1">
      <c r="A809" s="3"/>
      <c r="B809" s="3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2"/>
    </row>
    <row r="810" spans="1:45" ht="12.75" customHeight="1">
      <c r="A810" s="3"/>
      <c r="B810" s="3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2"/>
    </row>
    <row r="811" spans="1:45" ht="12.75" customHeight="1">
      <c r="A811" s="3"/>
      <c r="B811" s="3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2"/>
    </row>
    <row r="812" spans="1:45" ht="12.75" customHeight="1">
      <c r="A812" s="3"/>
      <c r="B812" s="3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2"/>
    </row>
    <row r="813" spans="1:45" ht="12.75" customHeight="1">
      <c r="A813" s="3"/>
      <c r="B813" s="3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2"/>
    </row>
    <row r="814" spans="1:45" ht="12.75" customHeight="1">
      <c r="A814" s="3"/>
      <c r="B814" s="3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2"/>
    </row>
    <row r="815" spans="1:45" ht="12.75" customHeight="1">
      <c r="A815" s="3"/>
      <c r="B815" s="3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2"/>
    </row>
    <row r="816" spans="1:45" ht="12.75" customHeight="1">
      <c r="A816" s="3"/>
      <c r="B816" s="3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2"/>
    </row>
    <row r="817" spans="1:45" ht="12.75" customHeight="1">
      <c r="A817" s="3"/>
      <c r="B817" s="3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2"/>
    </row>
    <row r="818" spans="1:45" ht="12.75" customHeight="1">
      <c r="A818" s="3"/>
      <c r="B818" s="3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2"/>
    </row>
    <row r="819" spans="1:45" ht="12.75" customHeight="1">
      <c r="A819" s="3"/>
      <c r="B819" s="3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2"/>
    </row>
    <row r="820" spans="1:45" ht="12.75" customHeight="1">
      <c r="A820" s="3"/>
      <c r="B820" s="3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2"/>
    </row>
    <row r="821" spans="1:45" ht="12.75" customHeight="1">
      <c r="A821" s="3"/>
      <c r="B821" s="3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2"/>
    </row>
    <row r="822" spans="1:45" ht="12.75" customHeight="1">
      <c r="A822" s="3"/>
      <c r="B822" s="3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2"/>
    </row>
    <row r="823" spans="1:45" ht="12.75" customHeight="1">
      <c r="A823" s="3"/>
      <c r="B823" s="3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2"/>
    </row>
    <row r="824" spans="1:45" ht="12.75" customHeight="1">
      <c r="A824" s="3"/>
      <c r="B824" s="3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2"/>
    </row>
    <row r="825" spans="1:45" ht="12.75" customHeight="1">
      <c r="A825" s="3"/>
      <c r="B825" s="3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2"/>
    </row>
    <row r="826" spans="1:45" ht="12.75" customHeight="1">
      <c r="A826" s="3"/>
      <c r="B826" s="3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2"/>
    </row>
    <row r="827" spans="1:45" ht="12.75" customHeight="1">
      <c r="A827" s="3"/>
      <c r="B827" s="3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2"/>
    </row>
    <row r="828" spans="1:45" ht="12.75" customHeight="1">
      <c r="A828" s="3"/>
      <c r="B828" s="3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2"/>
    </row>
    <row r="829" spans="1:45" ht="12.75" customHeight="1">
      <c r="A829" s="3"/>
      <c r="B829" s="3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2"/>
    </row>
    <row r="830" spans="1:45" ht="12.75" customHeight="1">
      <c r="A830" s="3"/>
      <c r="B830" s="3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2"/>
    </row>
    <row r="831" spans="1:45" ht="12.75" customHeight="1">
      <c r="A831" s="3"/>
      <c r="B831" s="3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2"/>
    </row>
    <row r="832" spans="1:45" ht="12.75" customHeight="1">
      <c r="A832" s="3"/>
      <c r="B832" s="3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2"/>
    </row>
    <row r="833" spans="1:45" ht="12.75" customHeight="1">
      <c r="A833" s="3"/>
      <c r="B833" s="3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2"/>
    </row>
    <row r="834" spans="1:45" ht="12.75" customHeight="1">
      <c r="A834" s="3"/>
      <c r="B834" s="3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2"/>
    </row>
    <row r="835" spans="1:45" ht="12.75" customHeight="1">
      <c r="A835" s="3"/>
      <c r="B835" s="3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2"/>
    </row>
    <row r="836" spans="1:45" ht="12.75" customHeight="1">
      <c r="A836" s="3"/>
      <c r="B836" s="3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2"/>
    </row>
    <row r="837" spans="1:45" ht="12.75" customHeight="1">
      <c r="A837" s="3"/>
      <c r="B837" s="3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2"/>
    </row>
    <row r="838" spans="1:45" ht="12.75" customHeight="1">
      <c r="A838" s="3"/>
      <c r="B838" s="3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2"/>
    </row>
    <row r="839" spans="1:45" ht="12.75" customHeight="1">
      <c r="A839" s="3"/>
      <c r="B839" s="3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2"/>
    </row>
    <row r="840" spans="1:45" ht="12.75" customHeight="1">
      <c r="A840" s="3"/>
      <c r="B840" s="3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2"/>
    </row>
    <row r="841" spans="1:45" ht="12.75" customHeight="1">
      <c r="A841" s="3"/>
      <c r="B841" s="3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2"/>
    </row>
    <row r="842" spans="1:45" ht="12.75" customHeight="1">
      <c r="A842" s="3"/>
      <c r="B842" s="3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2"/>
    </row>
    <row r="843" spans="1:45" ht="12.75" customHeight="1">
      <c r="A843" s="3"/>
      <c r="B843" s="3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2"/>
    </row>
    <row r="844" spans="1:45" ht="12.75" customHeight="1">
      <c r="A844" s="3"/>
      <c r="B844" s="3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2"/>
    </row>
    <row r="845" spans="1:45" ht="12.75" customHeight="1">
      <c r="A845" s="3"/>
      <c r="B845" s="3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2"/>
    </row>
    <row r="846" spans="1:45" ht="12.75" customHeight="1">
      <c r="A846" s="3"/>
      <c r="B846" s="3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2"/>
    </row>
    <row r="847" spans="1:45" ht="12.75" customHeight="1">
      <c r="A847" s="3"/>
      <c r="B847" s="3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2"/>
    </row>
    <row r="848" spans="1:45" ht="12.75" customHeight="1">
      <c r="A848" s="3"/>
      <c r="B848" s="3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2"/>
    </row>
    <row r="849" spans="1:45" ht="12.75" customHeight="1">
      <c r="A849" s="3"/>
      <c r="B849" s="3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2"/>
    </row>
    <row r="850" spans="1:45" ht="12.75" customHeight="1">
      <c r="A850" s="3"/>
      <c r="B850" s="3"/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2"/>
    </row>
    <row r="851" spans="1:45" ht="12.75" customHeight="1">
      <c r="A851" s="3"/>
      <c r="B851" s="3"/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2"/>
    </row>
    <row r="852" spans="1:45" ht="12.75" customHeight="1">
      <c r="A852" s="3"/>
      <c r="B852" s="3"/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2"/>
    </row>
    <row r="853" spans="1:45" ht="12.75" customHeight="1">
      <c r="A853" s="3"/>
      <c r="B853" s="3"/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2"/>
    </row>
    <row r="854" spans="1:45" ht="12.75" customHeight="1">
      <c r="A854" s="3"/>
      <c r="B854" s="3"/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2"/>
    </row>
    <row r="855" spans="1:45" ht="12.75" customHeight="1">
      <c r="A855" s="3"/>
      <c r="B855" s="3"/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2"/>
    </row>
    <row r="856" spans="1:45" ht="12.75" customHeight="1">
      <c r="A856" s="3"/>
      <c r="B856" s="3"/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2"/>
    </row>
    <row r="857" spans="1:45" ht="12.75" customHeight="1">
      <c r="A857" s="3"/>
      <c r="B857" s="3"/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2"/>
    </row>
    <row r="858" spans="1:45" ht="12.75" customHeight="1">
      <c r="A858" s="3"/>
      <c r="B858" s="3"/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2"/>
    </row>
    <row r="859" spans="1:45" ht="12.75" customHeight="1">
      <c r="A859" s="3"/>
      <c r="B859" s="3"/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2"/>
    </row>
    <row r="860" spans="1:45" ht="12.75" customHeight="1">
      <c r="A860" s="3"/>
      <c r="B860" s="3"/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2"/>
    </row>
    <row r="861" spans="1:45" ht="12.75" customHeight="1">
      <c r="A861" s="3"/>
      <c r="B861" s="3"/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2"/>
    </row>
    <row r="862" spans="1:45" ht="12.75" customHeight="1">
      <c r="A862" s="3"/>
      <c r="B862" s="3"/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2"/>
    </row>
    <row r="863" spans="1:45" ht="12.75" customHeight="1">
      <c r="A863" s="3"/>
      <c r="B863" s="3"/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2"/>
    </row>
    <row r="864" spans="1:45" ht="12.75" customHeight="1">
      <c r="A864" s="3"/>
      <c r="B864" s="3"/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2"/>
    </row>
    <row r="865" spans="1:45" ht="12.75" customHeight="1">
      <c r="A865" s="3"/>
      <c r="B865" s="3"/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2"/>
    </row>
    <row r="866" spans="1:45" ht="12.75" customHeight="1">
      <c r="A866" s="3"/>
      <c r="B866" s="3"/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2"/>
    </row>
    <row r="867" spans="1:45" ht="12.75" customHeight="1">
      <c r="A867" s="3"/>
      <c r="B867" s="3"/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2"/>
    </row>
    <row r="868" spans="1:45" ht="12.75" customHeight="1">
      <c r="A868" s="3"/>
      <c r="B868" s="3"/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2"/>
    </row>
    <row r="869" spans="1:45" ht="12.75" customHeight="1">
      <c r="A869" s="3"/>
      <c r="B869" s="3"/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2"/>
    </row>
    <row r="870" spans="1:45" ht="12.75" customHeight="1">
      <c r="A870" s="3"/>
      <c r="B870" s="3"/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2"/>
    </row>
    <row r="871" spans="1:45" ht="12.75" customHeight="1">
      <c r="A871" s="3"/>
      <c r="B871" s="3"/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2"/>
    </row>
    <row r="872" spans="1:45" ht="12.75" customHeight="1">
      <c r="A872" s="3"/>
      <c r="B872" s="3"/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2"/>
    </row>
    <row r="873" spans="1:45" ht="12.75" customHeight="1">
      <c r="A873" s="3"/>
      <c r="B873" s="3"/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2"/>
    </row>
    <row r="874" spans="1:45" ht="12.75" customHeight="1">
      <c r="A874" s="3"/>
      <c r="B874" s="3"/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2"/>
    </row>
    <row r="875" spans="1:45" ht="12.75" customHeight="1">
      <c r="A875" s="3"/>
      <c r="B875" s="3"/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2"/>
    </row>
    <row r="876" spans="1:45" ht="12.75" customHeight="1">
      <c r="A876" s="3"/>
      <c r="B876" s="3"/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2"/>
    </row>
    <row r="877" spans="1:45" ht="12.75" customHeight="1">
      <c r="A877" s="3"/>
      <c r="B877" s="3"/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2"/>
    </row>
    <row r="878" spans="1:45" ht="12.75" customHeight="1">
      <c r="A878" s="3"/>
      <c r="B878" s="3"/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2"/>
    </row>
    <row r="879" spans="1:45" ht="12.75" customHeight="1">
      <c r="A879" s="3"/>
      <c r="B879" s="3"/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2"/>
    </row>
    <row r="880" spans="1:45" ht="12.75" customHeight="1">
      <c r="A880" s="3"/>
      <c r="B880" s="3"/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2"/>
    </row>
    <row r="881" spans="1:45" ht="12.75" customHeight="1">
      <c r="A881" s="3"/>
      <c r="B881" s="3"/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2"/>
    </row>
    <row r="882" spans="1:45" ht="12.75" customHeight="1">
      <c r="A882" s="3"/>
      <c r="B882" s="3"/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2"/>
    </row>
    <row r="883" spans="1:45" ht="12.75" customHeight="1">
      <c r="A883" s="3"/>
      <c r="B883" s="3"/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2"/>
    </row>
    <row r="884" spans="1:45" ht="12.75" customHeight="1">
      <c r="A884" s="3"/>
      <c r="B884" s="3"/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2"/>
    </row>
    <row r="885" spans="1:45" ht="12.75" customHeight="1">
      <c r="A885" s="3"/>
      <c r="B885" s="3"/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2"/>
    </row>
    <row r="886" spans="1:45" ht="12.75" customHeight="1">
      <c r="A886" s="3"/>
      <c r="B886" s="3"/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2"/>
    </row>
    <row r="887" spans="1:45" ht="12.75" customHeight="1">
      <c r="A887" s="3"/>
      <c r="B887" s="3"/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2"/>
    </row>
    <row r="888" spans="1:45" ht="12.75" customHeight="1">
      <c r="A888" s="3"/>
      <c r="B888" s="3"/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2"/>
    </row>
    <row r="889" spans="1:45" ht="12.75" customHeight="1">
      <c r="A889" s="3"/>
      <c r="B889" s="3"/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2"/>
    </row>
    <row r="890" spans="1:45" ht="12.75" customHeight="1">
      <c r="A890" s="3"/>
      <c r="B890" s="3"/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2"/>
    </row>
    <row r="891" spans="1:45" ht="12.75" customHeight="1">
      <c r="A891" s="3"/>
      <c r="B891" s="3"/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2"/>
    </row>
    <row r="892" spans="1:45" ht="12.75" customHeight="1">
      <c r="A892" s="3"/>
      <c r="B892" s="3"/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2"/>
    </row>
    <row r="893" spans="1:45" ht="12.75" customHeight="1">
      <c r="A893" s="3"/>
      <c r="B893" s="3"/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2"/>
    </row>
    <row r="894" spans="1:45" ht="12.75" customHeight="1">
      <c r="A894" s="3"/>
      <c r="B894" s="3"/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2"/>
    </row>
    <row r="895" spans="1:45" ht="12.75" customHeight="1">
      <c r="A895" s="3"/>
      <c r="B895" s="3"/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2"/>
    </row>
    <row r="896" spans="1:45" ht="12.75" customHeight="1">
      <c r="A896" s="3"/>
      <c r="B896" s="3"/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2"/>
    </row>
    <row r="897" spans="1:45" ht="12.75" customHeight="1">
      <c r="A897" s="3"/>
      <c r="B897" s="3"/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2"/>
    </row>
    <row r="898" spans="1:45" ht="12.75" customHeight="1">
      <c r="A898" s="3"/>
      <c r="B898" s="3"/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2"/>
    </row>
    <row r="899" spans="1:45" ht="12.75" customHeight="1">
      <c r="A899" s="3"/>
      <c r="B899" s="3"/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2"/>
    </row>
    <row r="900" spans="1:45" ht="12.75" customHeight="1">
      <c r="A900" s="3"/>
      <c r="B900" s="3"/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2"/>
    </row>
    <row r="901" spans="1:45" ht="12.75" customHeight="1">
      <c r="A901" s="3"/>
      <c r="B901" s="3"/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2"/>
    </row>
    <row r="902" spans="1:45" ht="12.75" customHeight="1">
      <c r="A902" s="3"/>
      <c r="B902" s="3"/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2"/>
    </row>
    <row r="903" spans="1:45" ht="12.75" customHeight="1">
      <c r="A903" s="3"/>
      <c r="B903" s="3"/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2"/>
    </row>
    <row r="904" spans="1:45" ht="12.75" customHeight="1">
      <c r="A904" s="3"/>
      <c r="B904" s="3"/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2"/>
    </row>
    <row r="905" spans="1:45" ht="12.75" customHeight="1">
      <c r="A905" s="3"/>
      <c r="B905" s="3"/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2"/>
    </row>
    <row r="906" spans="1:45" ht="12.75" customHeight="1">
      <c r="A906" s="3"/>
      <c r="B906" s="3"/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2"/>
    </row>
    <row r="907" spans="1:45" ht="12.75" customHeight="1">
      <c r="A907" s="3"/>
      <c r="B907" s="3"/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2"/>
    </row>
    <row r="908" spans="1:45" ht="12.75" customHeight="1">
      <c r="A908" s="3"/>
      <c r="B908" s="3"/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2"/>
    </row>
    <row r="909" spans="1:45" ht="12.75" customHeight="1">
      <c r="A909" s="3"/>
      <c r="B909" s="3"/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2"/>
    </row>
    <row r="910" spans="1:45" ht="12.75" customHeight="1">
      <c r="A910" s="3"/>
      <c r="B910" s="3"/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2"/>
    </row>
    <row r="911" spans="1:45" ht="12.75" customHeight="1">
      <c r="A911" s="3"/>
      <c r="B911" s="3"/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2"/>
    </row>
    <row r="912" spans="1:45" ht="12.75" customHeight="1">
      <c r="A912" s="3"/>
      <c r="B912" s="3"/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2"/>
    </row>
    <row r="913" spans="1:45" ht="12.75" customHeight="1">
      <c r="A913" s="3"/>
      <c r="B913" s="3"/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2"/>
    </row>
    <row r="914" spans="1:45" ht="12.75" customHeight="1">
      <c r="A914" s="3"/>
      <c r="B914" s="3"/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2"/>
    </row>
    <row r="915" spans="1:45" ht="12.75" customHeight="1">
      <c r="A915" s="3"/>
      <c r="B915" s="3"/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2"/>
    </row>
    <row r="916" spans="1:45" ht="12.75" customHeight="1">
      <c r="A916" s="3"/>
      <c r="B916" s="3"/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2"/>
    </row>
    <row r="917" spans="1:45" ht="12.75" customHeight="1">
      <c r="A917" s="3"/>
      <c r="B917" s="3"/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2"/>
    </row>
    <row r="918" spans="1:45" ht="12.75" customHeight="1">
      <c r="A918" s="3"/>
      <c r="B918" s="3"/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2"/>
    </row>
    <row r="919" spans="1:45" ht="12.75" customHeight="1">
      <c r="A919" s="3"/>
      <c r="B919" s="3"/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2"/>
    </row>
    <row r="920" spans="1:45" ht="12.75" customHeight="1">
      <c r="A920" s="3"/>
      <c r="B920" s="3"/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2"/>
    </row>
    <row r="921" spans="1:45" ht="12.75" customHeight="1">
      <c r="A921" s="3"/>
      <c r="B921" s="3"/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2"/>
    </row>
    <row r="922" spans="1:45" ht="12.75" customHeight="1">
      <c r="A922" s="3"/>
      <c r="B922" s="3"/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2"/>
    </row>
    <row r="923" spans="1:45" ht="12.75" customHeight="1">
      <c r="A923" s="3"/>
      <c r="B923" s="3"/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2"/>
    </row>
    <row r="924" spans="1:45" ht="12.75" customHeight="1">
      <c r="A924" s="3"/>
      <c r="B924" s="3"/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2"/>
    </row>
    <row r="925" spans="1:45" ht="12.75" customHeight="1">
      <c r="A925" s="3"/>
      <c r="B925" s="3"/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2"/>
    </row>
    <row r="926" spans="1:45" ht="12.75" customHeight="1">
      <c r="A926" s="3"/>
      <c r="B926" s="3"/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2"/>
    </row>
    <row r="927" spans="1:45" ht="12.75" customHeight="1">
      <c r="A927" s="3"/>
      <c r="B927" s="3"/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2"/>
    </row>
    <row r="928" spans="1:45" ht="12.75" customHeight="1">
      <c r="A928" s="3"/>
      <c r="B928" s="3"/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2"/>
    </row>
    <row r="929" spans="1:45" ht="12.75" customHeight="1">
      <c r="A929" s="3"/>
      <c r="B929" s="3"/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2"/>
    </row>
    <row r="930" spans="1:45" ht="12.75" customHeight="1">
      <c r="A930" s="3"/>
      <c r="B930" s="3"/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2"/>
    </row>
    <row r="931" spans="1:45" ht="12.75" customHeight="1">
      <c r="A931" s="3"/>
      <c r="B931" s="3"/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2"/>
    </row>
    <row r="932" spans="1:45" ht="12.75" customHeight="1">
      <c r="A932" s="3"/>
      <c r="B932" s="3"/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2"/>
    </row>
    <row r="933" spans="1:45" ht="12.75" customHeight="1">
      <c r="A933" s="3"/>
      <c r="B933" s="3"/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2"/>
    </row>
    <row r="934" spans="1:45" ht="12.75" customHeight="1">
      <c r="A934" s="3"/>
      <c r="B934" s="3"/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2"/>
    </row>
    <row r="935" spans="1:45" ht="12.75" customHeight="1">
      <c r="A935" s="3"/>
      <c r="B935" s="3"/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2"/>
    </row>
    <row r="936" spans="1:45" ht="12.75" customHeight="1">
      <c r="A936" s="3"/>
      <c r="B936" s="3"/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2"/>
    </row>
    <row r="937" spans="1:45" ht="12.75" customHeight="1">
      <c r="A937" s="3"/>
      <c r="B937" s="3"/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2"/>
    </row>
    <row r="938" spans="1:45" ht="12.75" customHeight="1">
      <c r="A938" s="3"/>
      <c r="B938" s="3"/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2"/>
    </row>
    <row r="939" spans="1:45" ht="12.75" customHeight="1">
      <c r="A939" s="3"/>
      <c r="B939" s="3"/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2"/>
    </row>
    <row r="940" spans="1:45" ht="12.75" customHeight="1">
      <c r="A940" s="3"/>
      <c r="B940" s="3"/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2"/>
    </row>
    <row r="941" spans="1:45" ht="12.75" customHeight="1">
      <c r="A941" s="3"/>
      <c r="B941" s="3"/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2"/>
    </row>
    <row r="942" spans="1:45" ht="12.75" customHeight="1">
      <c r="A942" s="3"/>
      <c r="B942" s="3"/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2"/>
    </row>
    <row r="943" spans="1:45" ht="12.75" customHeight="1">
      <c r="A943" s="3"/>
      <c r="B943" s="3"/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2"/>
    </row>
    <row r="944" spans="1:45" ht="12.75" customHeight="1">
      <c r="A944" s="3"/>
      <c r="B944" s="3"/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2"/>
    </row>
    <row r="945" spans="1:45" ht="12.75" customHeight="1">
      <c r="A945" s="3"/>
      <c r="B945" s="3"/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2"/>
    </row>
    <row r="946" spans="1:45" ht="12.75" customHeight="1">
      <c r="A946" s="3"/>
      <c r="B946" s="3"/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2"/>
    </row>
    <row r="947" spans="1:45" ht="12.75" customHeight="1">
      <c r="A947" s="3"/>
      <c r="B947" s="3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2"/>
    </row>
    <row r="948" spans="1:45" ht="12.75" customHeight="1">
      <c r="A948" s="3"/>
      <c r="B948" s="3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2"/>
    </row>
    <row r="949" spans="1:45" ht="12.75" customHeight="1">
      <c r="A949" s="3"/>
      <c r="B949" s="3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2"/>
    </row>
    <row r="950" spans="1:45" ht="12.75" customHeight="1">
      <c r="A950" s="3"/>
      <c r="B950" s="3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2"/>
    </row>
    <row r="951" spans="1:45" ht="12.75" customHeight="1">
      <c r="A951" s="3"/>
      <c r="B951" s="3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2"/>
    </row>
    <row r="952" spans="1:45" ht="12.75" customHeight="1">
      <c r="A952" s="3"/>
      <c r="B952" s="3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2"/>
    </row>
    <row r="953" spans="1:45" ht="12.75" customHeight="1">
      <c r="A953" s="3"/>
      <c r="B953" s="3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2"/>
    </row>
    <row r="954" spans="1:45" ht="12.75" customHeight="1">
      <c r="A954" s="3"/>
      <c r="B954" s="3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2"/>
    </row>
    <row r="955" spans="1:45" ht="12.75" customHeight="1">
      <c r="A955" s="3"/>
      <c r="B955" s="3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2"/>
    </row>
    <row r="956" spans="1:45" ht="12.75" customHeight="1">
      <c r="A956" s="3"/>
      <c r="B956" s="3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2"/>
    </row>
    <row r="957" spans="1:45" ht="12.75" customHeight="1">
      <c r="A957" s="3"/>
      <c r="B957" s="3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2"/>
    </row>
    <row r="958" spans="1:45" ht="12.75" customHeight="1">
      <c r="A958" s="3"/>
      <c r="B958" s="3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2"/>
    </row>
    <row r="959" spans="1:45" ht="12.75" customHeight="1">
      <c r="A959" s="3"/>
      <c r="B959" s="3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2"/>
    </row>
    <row r="960" spans="1:45" ht="12.75" customHeight="1">
      <c r="A960" s="3"/>
      <c r="B960" s="3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2"/>
    </row>
    <row r="961" spans="1:45" ht="12.75" customHeight="1">
      <c r="A961" s="3"/>
      <c r="B961" s="3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2"/>
    </row>
    <row r="962" spans="1:45" ht="12.75" customHeight="1">
      <c r="A962" s="3"/>
      <c r="B962" s="3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2"/>
    </row>
    <row r="963" spans="1:45" ht="12.75" customHeight="1">
      <c r="A963" s="3"/>
      <c r="B963" s="3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2"/>
    </row>
    <row r="964" spans="1:45" ht="12.75" customHeight="1">
      <c r="A964" s="3"/>
      <c r="B964" s="3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2"/>
    </row>
    <row r="965" spans="1:45" ht="12.75" customHeight="1">
      <c r="A965" s="3"/>
      <c r="B965" s="3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2"/>
    </row>
    <row r="966" spans="1:45" ht="12.75" customHeight="1">
      <c r="A966" s="3"/>
      <c r="B966" s="3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2"/>
    </row>
    <row r="967" spans="1:45" ht="12.75" customHeight="1">
      <c r="A967" s="3"/>
      <c r="B967" s="3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2"/>
    </row>
    <row r="968" spans="1:45" ht="12.75" customHeight="1">
      <c r="A968" s="3"/>
      <c r="B968" s="3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2"/>
    </row>
    <row r="969" spans="1:45" ht="12.75" customHeight="1">
      <c r="A969" s="3"/>
      <c r="B969" s="3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2"/>
    </row>
    <row r="970" spans="1:45" ht="12.75" customHeight="1">
      <c r="A970" s="3"/>
      <c r="B970" s="3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2"/>
    </row>
    <row r="971" spans="1:45" ht="12.75" customHeight="1">
      <c r="A971" s="3"/>
      <c r="B971" s="3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2"/>
    </row>
    <row r="972" spans="1:45" ht="12.75" customHeight="1">
      <c r="A972" s="3"/>
      <c r="B972" s="3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2"/>
    </row>
    <row r="973" spans="1:45" ht="12.75" customHeight="1">
      <c r="A973" s="3"/>
      <c r="B973" s="3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2"/>
    </row>
    <row r="974" spans="1:45" ht="12.75" customHeight="1">
      <c r="A974" s="3"/>
      <c r="B974" s="3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2"/>
    </row>
    <row r="975" spans="1:45" ht="12.75" customHeight="1">
      <c r="A975" s="3"/>
      <c r="B975" s="3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2"/>
    </row>
    <row r="976" spans="1:45" ht="12.75" customHeight="1">
      <c r="A976" s="3"/>
      <c r="B976" s="3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2"/>
    </row>
    <row r="977" spans="1:45" ht="12.75" customHeight="1">
      <c r="A977" s="3"/>
      <c r="B977" s="3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2"/>
    </row>
    <row r="978" spans="1:45" ht="12.75" customHeight="1">
      <c r="A978" s="3"/>
      <c r="B978" s="3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2"/>
    </row>
    <row r="979" spans="1:45" ht="12.75" customHeight="1">
      <c r="A979" s="3"/>
      <c r="B979" s="3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2"/>
    </row>
    <row r="980" spans="1:45" ht="12.75" customHeight="1">
      <c r="A980" s="3"/>
      <c r="B980" s="3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2"/>
    </row>
    <row r="981" spans="1:45" ht="12.75" customHeight="1">
      <c r="A981" s="3"/>
      <c r="B981" s="3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2"/>
    </row>
    <row r="982" spans="1:45" ht="12.75" customHeight="1">
      <c r="A982" s="3"/>
      <c r="B982" s="3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2"/>
    </row>
    <row r="983" spans="1:45" ht="12.75" customHeight="1">
      <c r="A983" s="3"/>
      <c r="B983" s="3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2"/>
    </row>
    <row r="984" spans="1:45" ht="12.75" customHeight="1">
      <c r="A984" s="3"/>
      <c r="B984" s="3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2"/>
    </row>
    <row r="985" spans="1:45" ht="12.75" customHeight="1">
      <c r="A985" s="3"/>
      <c r="B985" s="3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2"/>
    </row>
    <row r="986" spans="1:45" ht="12.75" customHeight="1">
      <c r="A986" s="3"/>
      <c r="B986" s="3"/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2"/>
    </row>
    <row r="987" spans="1:45" ht="12.75" customHeight="1">
      <c r="A987" s="3"/>
      <c r="B987" s="3"/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2"/>
    </row>
    <row r="988" spans="1:45" ht="12.75" customHeight="1">
      <c r="A988" s="3"/>
      <c r="B988" s="3"/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2"/>
    </row>
    <row r="989" spans="1:45" ht="12.75" customHeight="1">
      <c r="A989" s="3"/>
      <c r="B989" s="3"/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2"/>
    </row>
    <row r="990" spans="1:45" ht="12.75" customHeight="1">
      <c r="A990" s="3"/>
      <c r="B990" s="3"/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2"/>
    </row>
    <row r="991" spans="1:45" ht="12.75" customHeight="1">
      <c r="A991" s="3"/>
      <c r="B991" s="3"/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2"/>
    </row>
    <row r="992" spans="1:45" ht="12.75" customHeight="1">
      <c r="A992" s="3"/>
      <c r="B992" s="3"/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2"/>
    </row>
    <row r="993" spans="1:45" ht="12.75" customHeight="1">
      <c r="A993" s="3"/>
      <c r="B993" s="3"/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2"/>
    </row>
    <row r="994" spans="1:45" ht="12.75" customHeight="1">
      <c r="A994" s="3"/>
      <c r="B994" s="3"/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2"/>
    </row>
    <row r="995" spans="1:45" ht="12.75" customHeight="1">
      <c r="A995" s="3"/>
      <c r="B995" s="3"/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2"/>
    </row>
    <row r="996" spans="1:45" ht="12.75" customHeight="1">
      <c r="A996" s="3"/>
      <c r="B996" s="3"/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2"/>
    </row>
    <row r="997" spans="1:45" ht="12.75" customHeight="1">
      <c r="A997" s="3"/>
      <c r="B997" s="3"/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2"/>
    </row>
    <row r="998" spans="1:45" ht="12.75" customHeight="1">
      <c r="A998" s="3"/>
      <c r="B998" s="3"/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2"/>
    </row>
    <row r="999" spans="1:45" ht="12.75" customHeight="1">
      <c r="A999" s="3"/>
      <c r="B999" s="3"/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2"/>
    </row>
    <row r="1000" spans="1:45" ht="12.75" customHeight="1">
      <c r="A1000" s="3"/>
      <c r="B1000" s="3"/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2"/>
    </row>
  </sheetData>
  <autoFilter ref="E6:AR87" xr:uid="{00000000-0001-0000-0000-000000000000}"/>
  <mergeCells count="78">
    <mergeCell ref="K51:K53"/>
    <mergeCell ref="M51:M53"/>
    <mergeCell ref="O51:O53"/>
    <mergeCell ref="K56:K57"/>
    <mergeCell ref="Y89:Z89"/>
    <mergeCell ref="K59:K60"/>
    <mergeCell ref="R61:R70"/>
    <mergeCell ref="K67:K68"/>
    <mergeCell ref="M67:M68"/>
    <mergeCell ref="K71:K73"/>
    <mergeCell ref="AQ89:AR89"/>
    <mergeCell ref="AA89:AB89"/>
    <mergeCell ref="AC89:AD89"/>
    <mergeCell ref="AE89:AF89"/>
    <mergeCell ref="AG89:AH89"/>
    <mergeCell ref="AI89:AJ89"/>
    <mergeCell ref="AK89:AL89"/>
    <mergeCell ref="AM89:AN89"/>
    <mergeCell ref="AO89:AP89"/>
    <mergeCell ref="AI5:AJ5"/>
    <mergeCell ref="AK5:AL5"/>
    <mergeCell ref="G89:H89"/>
    <mergeCell ref="E89:F89"/>
    <mergeCell ref="I89:J89"/>
    <mergeCell ref="Q89:R89"/>
    <mergeCell ref="S89:T89"/>
    <mergeCell ref="O89:P89"/>
    <mergeCell ref="O74:O75"/>
    <mergeCell ref="K76:K77"/>
    <mergeCell ref="K85:K86"/>
    <mergeCell ref="M85:M86"/>
    <mergeCell ref="K89:L89"/>
    <mergeCell ref="M89:N89"/>
    <mergeCell ref="U89:V89"/>
    <mergeCell ref="W89:X89"/>
    <mergeCell ref="Y5:Z5"/>
    <mergeCell ref="AA5:AB5"/>
    <mergeCell ref="AC5:AD5"/>
    <mergeCell ref="AE5:AF5"/>
    <mergeCell ref="AG5:AH5"/>
    <mergeCell ref="O5:P5"/>
    <mergeCell ref="Q5:R5"/>
    <mergeCell ref="S5:T5"/>
    <mergeCell ref="U5:V5"/>
    <mergeCell ref="W5:X5"/>
    <mergeCell ref="AM7:AR7"/>
    <mergeCell ref="A5:A6"/>
    <mergeCell ref="C5:C6"/>
    <mergeCell ref="E5:F5"/>
    <mergeCell ref="G5:H5"/>
    <mergeCell ref="I5:J5"/>
    <mergeCell ref="K5:L5"/>
    <mergeCell ref="M5:N5"/>
    <mergeCell ref="E7:J7"/>
    <mergeCell ref="K7:N7"/>
    <mergeCell ref="O7:P7"/>
    <mergeCell ref="Q7:AB7"/>
    <mergeCell ref="AC7:AL7"/>
    <mergeCell ref="AM5:AN5"/>
    <mergeCell ref="AO5:AP5"/>
    <mergeCell ref="AQ5:AR5"/>
    <mergeCell ref="M28:M29"/>
    <mergeCell ref="O28:O29"/>
    <mergeCell ref="K10:K12"/>
    <mergeCell ref="K13:K14"/>
    <mergeCell ref="K15:K16"/>
    <mergeCell ref="O15:O16"/>
    <mergeCell ref="K17:K18"/>
    <mergeCell ref="M17:M18"/>
    <mergeCell ref="K28:K29"/>
    <mergeCell ref="T41:T50"/>
    <mergeCell ref="M44:M45"/>
    <mergeCell ref="K30:K31"/>
    <mergeCell ref="M30:M31"/>
    <mergeCell ref="K33:K35"/>
    <mergeCell ref="K36:K38"/>
    <mergeCell ref="O36:O38"/>
    <mergeCell ref="K47:K48"/>
  </mergeCells>
  <conditionalFormatting sqref="E8:AR8">
    <cfRule type="cellIs" dxfId="0" priority="1" operator="lessThan">
      <formula>6</formula>
    </cfRule>
  </conditionalFormatting>
  <printOptions horizontalCentered="1"/>
  <pageMargins left="0.39370078740157483" right="0.39370078740157483" top="0.51181102362204722" bottom="0.51181102362204722" header="0" footer="0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1000"/>
  <sheetViews>
    <sheetView workbookViewId="0"/>
  </sheetViews>
  <sheetFormatPr defaultColWidth="14.44140625" defaultRowHeight="15" customHeight="1"/>
  <cols>
    <col min="1" max="1" width="25.109375" customWidth="1"/>
    <col min="2" max="2" width="27.44140625" customWidth="1"/>
    <col min="4" max="4" width="127.88671875" customWidth="1"/>
  </cols>
  <sheetData>
    <row r="1" spans="1:42" ht="14.4">
      <c r="C1" s="151"/>
    </row>
    <row r="2" spans="1:42" ht="22.5" customHeight="1">
      <c r="A2" s="195" t="s">
        <v>4</v>
      </c>
      <c r="B2" s="152" t="s">
        <v>24</v>
      </c>
      <c r="C2" s="153">
        <v>7</v>
      </c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5"/>
      <c r="Q2" s="154"/>
      <c r="R2" s="155"/>
      <c r="S2" s="154"/>
      <c r="T2" s="155"/>
      <c r="U2" s="154"/>
      <c r="V2" s="155"/>
      <c r="W2" s="154"/>
      <c r="X2" s="155"/>
      <c r="Y2" s="154"/>
      <c r="Z2" s="155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</row>
    <row r="3" spans="1:42" ht="22.5" customHeight="1">
      <c r="A3" s="182"/>
      <c r="B3" s="156" t="s">
        <v>25</v>
      </c>
      <c r="C3" s="153">
        <v>8</v>
      </c>
      <c r="D3" s="157" t="s">
        <v>114</v>
      </c>
    </row>
    <row r="4" spans="1:42" ht="22.5" customHeight="1">
      <c r="A4" s="195" t="s">
        <v>5</v>
      </c>
      <c r="B4" s="156" t="s">
        <v>24</v>
      </c>
      <c r="C4" s="153">
        <v>23</v>
      </c>
    </row>
    <row r="5" spans="1:42" ht="14.4">
      <c r="A5" s="182"/>
      <c r="B5" s="156" t="s">
        <v>25</v>
      </c>
      <c r="C5" s="153">
        <v>8</v>
      </c>
      <c r="D5" s="158" t="s">
        <v>167</v>
      </c>
    </row>
    <row r="6" spans="1:42" ht="22.5" customHeight="1">
      <c r="A6" s="195" t="s">
        <v>6</v>
      </c>
      <c r="B6" s="156" t="s">
        <v>24</v>
      </c>
      <c r="C6" s="153">
        <v>12</v>
      </c>
    </row>
    <row r="7" spans="1:42" ht="14.4">
      <c r="A7" s="182"/>
      <c r="B7" s="156" t="s">
        <v>25</v>
      </c>
      <c r="C7" s="153">
        <v>8</v>
      </c>
      <c r="D7" s="200" t="s">
        <v>116</v>
      </c>
      <c r="E7" s="201"/>
    </row>
    <row r="8" spans="1:42" ht="22.5" customHeight="1">
      <c r="A8" s="195" t="s">
        <v>7</v>
      </c>
      <c r="B8" s="156" t="s">
        <v>24</v>
      </c>
      <c r="C8" s="153">
        <v>36</v>
      </c>
    </row>
    <row r="9" spans="1:42" ht="14.4">
      <c r="A9" s="182"/>
      <c r="B9" s="156" t="s">
        <v>25</v>
      </c>
      <c r="C9" s="153">
        <v>8</v>
      </c>
      <c r="D9" s="158" t="s">
        <v>168</v>
      </c>
    </row>
    <row r="10" spans="1:42" ht="22.5" customHeight="1">
      <c r="A10" s="195" t="s">
        <v>8</v>
      </c>
      <c r="B10" s="156" t="s">
        <v>24</v>
      </c>
      <c r="C10" s="153">
        <v>22</v>
      </c>
    </row>
    <row r="11" spans="1:42" ht="14.4">
      <c r="A11" s="182"/>
      <c r="B11" s="156" t="s">
        <v>25</v>
      </c>
      <c r="C11" s="153">
        <v>8</v>
      </c>
      <c r="D11" s="158" t="s">
        <v>169</v>
      </c>
    </row>
    <row r="12" spans="1:42" ht="22.5" customHeight="1">
      <c r="A12" s="195" t="s">
        <v>9</v>
      </c>
      <c r="B12" s="156" t="s">
        <v>24</v>
      </c>
      <c r="C12" s="153">
        <v>36</v>
      </c>
    </row>
    <row r="13" spans="1:42" ht="22.5" customHeight="1">
      <c r="A13" s="182"/>
      <c r="B13" s="156" t="s">
        <v>25</v>
      </c>
      <c r="C13" s="153">
        <v>8</v>
      </c>
      <c r="D13" s="159" t="s">
        <v>119</v>
      </c>
    </row>
    <row r="14" spans="1:42" ht="22.5" customHeight="1">
      <c r="A14" s="195" t="s">
        <v>10</v>
      </c>
      <c r="B14" s="156" t="s">
        <v>24</v>
      </c>
      <c r="C14" s="153">
        <v>34</v>
      </c>
    </row>
    <row r="15" spans="1:42" ht="14.4">
      <c r="A15" s="182"/>
      <c r="B15" s="156" t="s">
        <v>25</v>
      </c>
      <c r="C15" s="160">
        <v>9</v>
      </c>
      <c r="D15" s="159" t="s">
        <v>170</v>
      </c>
    </row>
    <row r="16" spans="1:42" ht="22.5" customHeight="1">
      <c r="A16" s="195" t="s">
        <v>11</v>
      </c>
      <c r="B16" s="156" t="s">
        <v>24</v>
      </c>
      <c r="C16" s="153">
        <v>20</v>
      </c>
    </row>
    <row r="17" spans="1:3" ht="22.5" customHeight="1">
      <c r="A17" s="182"/>
      <c r="B17" s="156" t="s">
        <v>25</v>
      </c>
      <c r="C17" s="160">
        <v>10</v>
      </c>
    </row>
    <row r="18" spans="1:3" ht="22.5" customHeight="1">
      <c r="A18" s="195" t="s">
        <v>12</v>
      </c>
      <c r="B18" s="156" t="s">
        <v>24</v>
      </c>
      <c r="C18" s="153">
        <v>9</v>
      </c>
    </row>
    <row r="19" spans="1:3" ht="22.5" customHeight="1">
      <c r="A19" s="182"/>
      <c r="B19" s="156" t="s">
        <v>25</v>
      </c>
      <c r="C19" s="160">
        <v>9</v>
      </c>
    </row>
    <row r="20" spans="1:3" ht="22.5" customHeight="1">
      <c r="A20" s="195" t="s">
        <v>13</v>
      </c>
      <c r="B20" s="156" t="s">
        <v>24</v>
      </c>
      <c r="C20" s="153">
        <v>15</v>
      </c>
    </row>
    <row r="21" spans="1:3" ht="22.5" customHeight="1">
      <c r="A21" s="182"/>
      <c r="B21" s="156" t="s">
        <v>25</v>
      </c>
      <c r="C21" s="160">
        <v>9</v>
      </c>
    </row>
    <row r="22" spans="1:3" ht="22.5" customHeight="1">
      <c r="A22" s="195" t="s">
        <v>14</v>
      </c>
      <c r="B22" s="156" t="s">
        <v>24</v>
      </c>
      <c r="C22" s="153">
        <v>11</v>
      </c>
    </row>
    <row r="23" spans="1:3" ht="22.5" customHeight="1">
      <c r="A23" s="182"/>
      <c r="B23" s="156" t="s">
        <v>25</v>
      </c>
      <c r="C23" s="160">
        <v>10</v>
      </c>
    </row>
    <row r="24" spans="1:3" ht="22.5" customHeight="1">
      <c r="A24" s="195" t="s">
        <v>15</v>
      </c>
      <c r="B24" s="156" t="s">
        <v>24</v>
      </c>
      <c r="C24" s="153">
        <v>9</v>
      </c>
    </row>
    <row r="25" spans="1:3" ht="22.5" customHeight="1">
      <c r="A25" s="182"/>
      <c r="B25" s="156" t="s">
        <v>25</v>
      </c>
      <c r="C25" s="160">
        <v>9</v>
      </c>
    </row>
    <row r="26" spans="1:3" ht="22.5" customHeight="1">
      <c r="A26" s="195" t="s">
        <v>16</v>
      </c>
      <c r="B26" s="156" t="s">
        <v>24</v>
      </c>
      <c r="C26" s="153">
        <v>22</v>
      </c>
    </row>
    <row r="27" spans="1:3" ht="22.5" customHeight="1">
      <c r="A27" s="182"/>
      <c r="B27" s="156" t="s">
        <v>25</v>
      </c>
      <c r="C27" s="153">
        <v>8</v>
      </c>
    </row>
    <row r="28" spans="1:3" ht="22.5" customHeight="1">
      <c r="A28" s="195" t="s">
        <v>17</v>
      </c>
      <c r="B28" s="156" t="s">
        <v>24</v>
      </c>
      <c r="C28" s="153">
        <v>33</v>
      </c>
    </row>
    <row r="29" spans="1:3" ht="22.5" customHeight="1">
      <c r="A29" s="182"/>
      <c r="B29" s="156" t="s">
        <v>25</v>
      </c>
      <c r="C29" s="153">
        <v>8</v>
      </c>
    </row>
    <row r="30" spans="1:3" ht="22.5" customHeight="1">
      <c r="A30" s="195" t="s">
        <v>18</v>
      </c>
      <c r="B30" s="156" t="s">
        <v>24</v>
      </c>
      <c r="C30" s="153">
        <v>20</v>
      </c>
    </row>
    <row r="31" spans="1:3" ht="22.5" customHeight="1">
      <c r="A31" s="182"/>
      <c r="B31" s="156" t="s">
        <v>25</v>
      </c>
      <c r="C31" s="153">
        <v>8</v>
      </c>
    </row>
    <row r="32" spans="1:3" ht="22.5" customHeight="1">
      <c r="A32" s="195" t="s">
        <v>19</v>
      </c>
      <c r="B32" s="156" t="s">
        <v>24</v>
      </c>
      <c r="C32" s="153">
        <v>33</v>
      </c>
    </row>
    <row r="33" spans="1:5" ht="22.5" customHeight="1">
      <c r="A33" s="182"/>
      <c r="B33" s="156" t="s">
        <v>25</v>
      </c>
      <c r="C33" s="153">
        <v>8</v>
      </c>
    </row>
    <row r="34" spans="1:5" ht="22.5" customHeight="1">
      <c r="A34" s="195" t="s">
        <v>20</v>
      </c>
      <c r="B34" s="156" t="s">
        <v>24</v>
      </c>
      <c r="C34" s="153">
        <v>21</v>
      </c>
    </row>
    <row r="35" spans="1:5" ht="22.5" customHeight="1">
      <c r="A35" s="182"/>
      <c r="B35" s="156" t="s">
        <v>25</v>
      </c>
      <c r="C35" s="153">
        <v>8</v>
      </c>
    </row>
    <row r="36" spans="1:5" ht="22.5" customHeight="1">
      <c r="A36" s="196" t="s">
        <v>21</v>
      </c>
      <c r="B36" s="152" t="s">
        <v>24</v>
      </c>
      <c r="C36" s="153">
        <v>39</v>
      </c>
    </row>
    <row r="37" spans="1:5" ht="14.4">
      <c r="A37" s="197"/>
      <c r="B37" s="156" t="s">
        <v>25</v>
      </c>
      <c r="C37" s="153">
        <v>8</v>
      </c>
      <c r="D37" s="198" t="s">
        <v>129</v>
      </c>
      <c r="E37" s="199"/>
    </row>
    <row r="38" spans="1:5" ht="22.5" customHeight="1">
      <c r="A38" s="195" t="s">
        <v>22</v>
      </c>
      <c r="B38" s="156" t="s">
        <v>24</v>
      </c>
      <c r="C38" s="153">
        <v>39</v>
      </c>
    </row>
    <row r="39" spans="1:5" ht="14.4">
      <c r="A39" s="182"/>
      <c r="B39" s="156" t="s">
        <v>25</v>
      </c>
      <c r="C39" s="153">
        <v>8</v>
      </c>
      <c r="D39" s="158" t="s">
        <v>171</v>
      </c>
    </row>
    <row r="40" spans="1:5" ht="22.5" customHeight="1">
      <c r="A40" s="195" t="s">
        <v>23</v>
      </c>
      <c r="B40" s="156" t="s">
        <v>24</v>
      </c>
      <c r="C40" s="153">
        <v>12</v>
      </c>
    </row>
    <row r="41" spans="1:5" ht="14.4">
      <c r="A41" s="182"/>
      <c r="B41" s="156" t="s">
        <v>25</v>
      </c>
      <c r="C41" s="153">
        <v>8</v>
      </c>
      <c r="D41" s="193" t="s">
        <v>131</v>
      </c>
      <c r="E41" s="194"/>
    </row>
    <row r="42" spans="1:5" ht="14.4">
      <c r="C42" s="151"/>
    </row>
    <row r="43" spans="1:5" ht="14.4">
      <c r="C43" s="151"/>
    </row>
    <row r="44" spans="1:5" ht="14.4">
      <c r="C44" s="151"/>
    </row>
    <row r="45" spans="1:5" ht="14.4">
      <c r="C45" s="151"/>
    </row>
    <row r="46" spans="1:5" ht="14.4">
      <c r="C46" s="151"/>
    </row>
    <row r="47" spans="1:5" ht="14.4">
      <c r="C47" s="151"/>
    </row>
    <row r="48" spans="1:5" ht="14.4">
      <c r="C48" s="151"/>
    </row>
    <row r="49" spans="3:3" ht="14.4">
      <c r="C49" s="151"/>
    </row>
    <row r="50" spans="3:3" ht="14.4">
      <c r="C50" s="151"/>
    </row>
    <row r="51" spans="3:3" ht="14.4">
      <c r="C51" s="151"/>
    </row>
    <row r="52" spans="3:3" ht="14.4">
      <c r="C52" s="151"/>
    </row>
    <row r="53" spans="3:3" ht="14.4">
      <c r="C53" s="151"/>
    </row>
    <row r="54" spans="3:3" ht="14.4">
      <c r="C54" s="151"/>
    </row>
    <row r="55" spans="3:3" ht="14.4">
      <c r="C55" s="151"/>
    </row>
    <row r="56" spans="3:3" ht="14.4">
      <c r="C56" s="151"/>
    </row>
    <row r="57" spans="3:3" ht="14.4">
      <c r="C57" s="151"/>
    </row>
    <row r="58" spans="3:3" ht="14.4">
      <c r="C58" s="151"/>
    </row>
    <row r="59" spans="3:3" ht="14.4">
      <c r="C59" s="151"/>
    </row>
    <row r="60" spans="3:3" ht="14.4">
      <c r="C60" s="151"/>
    </row>
    <row r="61" spans="3:3" ht="14.4">
      <c r="C61" s="151"/>
    </row>
    <row r="62" spans="3:3" ht="14.4">
      <c r="C62" s="151"/>
    </row>
    <row r="63" spans="3:3" ht="14.4">
      <c r="C63" s="151"/>
    </row>
    <row r="64" spans="3:3" ht="14.4">
      <c r="C64" s="151"/>
    </row>
    <row r="65" spans="3:3" ht="14.4">
      <c r="C65" s="151"/>
    </row>
    <row r="66" spans="3:3" ht="14.4">
      <c r="C66" s="151"/>
    </row>
    <row r="67" spans="3:3" ht="14.4">
      <c r="C67" s="151"/>
    </row>
    <row r="68" spans="3:3" ht="14.4">
      <c r="C68" s="151"/>
    </row>
    <row r="69" spans="3:3" ht="14.4">
      <c r="C69" s="151"/>
    </row>
    <row r="70" spans="3:3" ht="14.4">
      <c r="C70" s="151"/>
    </row>
    <row r="71" spans="3:3" ht="14.4">
      <c r="C71" s="151"/>
    </row>
    <row r="72" spans="3:3" ht="14.4">
      <c r="C72" s="151"/>
    </row>
    <row r="73" spans="3:3" ht="14.4">
      <c r="C73" s="151"/>
    </row>
    <row r="74" spans="3:3" ht="14.4">
      <c r="C74" s="151"/>
    </row>
    <row r="75" spans="3:3" ht="14.4">
      <c r="C75" s="151"/>
    </row>
    <row r="76" spans="3:3" ht="14.4">
      <c r="C76" s="151"/>
    </row>
    <row r="77" spans="3:3" ht="14.4">
      <c r="C77" s="151"/>
    </row>
    <row r="78" spans="3:3" ht="14.4">
      <c r="C78" s="151"/>
    </row>
    <row r="79" spans="3:3" ht="14.4">
      <c r="C79" s="151"/>
    </row>
    <row r="80" spans="3:3" ht="14.4">
      <c r="C80" s="151"/>
    </row>
    <row r="81" spans="3:3" ht="14.4">
      <c r="C81" s="151"/>
    </row>
    <row r="82" spans="3:3" ht="14.4">
      <c r="C82" s="151"/>
    </row>
    <row r="83" spans="3:3" ht="14.4">
      <c r="C83" s="151"/>
    </row>
    <row r="84" spans="3:3" ht="14.4">
      <c r="C84" s="151"/>
    </row>
    <row r="85" spans="3:3" ht="14.4">
      <c r="C85" s="151"/>
    </row>
    <row r="86" spans="3:3" ht="14.4">
      <c r="C86" s="151"/>
    </row>
    <row r="87" spans="3:3" ht="14.4">
      <c r="C87" s="151"/>
    </row>
    <row r="88" spans="3:3" ht="14.4">
      <c r="C88" s="151"/>
    </row>
    <row r="89" spans="3:3" ht="14.4">
      <c r="C89" s="151"/>
    </row>
    <row r="90" spans="3:3" ht="14.4">
      <c r="C90" s="151"/>
    </row>
    <row r="91" spans="3:3" ht="14.4">
      <c r="C91" s="151"/>
    </row>
    <row r="92" spans="3:3" ht="14.4">
      <c r="C92" s="151"/>
    </row>
    <row r="93" spans="3:3" ht="14.4">
      <c r="C93" s="151"/>
    </row>
    <row r="94" spans="3:3" ht="14.4">
      <c r="C94" s="151"/>
    </row>
    <row r="95" spans="3:3" ht="14.4">
      <c r="C95" s="151"/>
    </row>
    <row r="96" spans="3:3" ht="14.4">
      <c r="C96" s="151"/>
    </row>
    <row r="97" spans="3:3" ht="14.4">
      <c r="C97" s="151"/>
    </row>
    <row r="98" spans="3:3" ht="14.4">
      <c r="C98" s="151"/>
    </row>
    <row r="99" spans="3:3" ht="14.4">
      <c r="C99" s="151"/>
    </row>
    <row r="100" spans="3:3" ht="14.4">
      <c r="C100" s="151"/>
    </row>
    <row r="101" spans="3:3" ht="14.4">
      <c r="C101" s="151"/>
    </row>
    <row r="102" spans="3:3" ht="14.4">
      <c r="C102" s="151"/>
    </row>
    <row r="103" spans="3:3" ht="14.4">
      <c r="C103" s="151"/>
    </row>
    <row r="104" spans="3:3" ht="14.4">
      <c r="C104" s="151"/>
    </row>
    <row r="105" spans="3:3" ht="14.4">
      <c r="C105" s="151"/>
    </row>
    <row r="106" spans="3:3" ht="14.4">
      <c r="C106" s="151"/>
    </row>
    <row r="107" spans="3:3" ht="14.4">
      <c r="C107" s="151"/>
    </row>
    <row r="108" spans="3:3" ht="14.4">
      <c r="C108" s="151"/>
    </row>
    <row r="109" spans="3:3" ht="14.4">
      <c r="C109" s="151"/>
    </row>
    <row r="110" spans="3:3" ht="14.4">
      <c r="C110" s="151"/>
    </row>
    <row r="111" spans="3:3" ht="14.4">
      <c r="C111" s="151"/>
    </row>
    <row r="112" spans="3:3" ht="14.4">
      <c r="C112" s="151"/>
    </row>
    <row r="113" spans="3:3" ht="14.4">
      <c r="C113" s="151"/>
    </row>
    <row r="114" spans="3:3" ht="14.4">
      <c r="C114" s="151"/>
    </row>
    <row r="115" spans="3:3" ht="14.4">
      <c r="C115" s="151"/>
    </row>
    <row r="116" spans="3:3" ht="14.4">
      <c r="C116" s="151"/>
    </row>
    <row r="117" spans="3:3" ht="14.4">
      <c r="C117" s="151"/>
    </row>
    <row r="118" spans="3:3" ht="14.4">
      <c r="C118" s="151"/>
    </row>
    <row r="119" spans="3:3" ht="14.4">
      <c r="C119" s="151"/>
    </row>
    <row r="120" spans="3:3" ht="14.4">
      <c r="C120" s="151"/>
    </row>
    <row r="121" spans="3:3" ht="14.4">
      <c r="C121" s="151"/>
    </row>
    <row r="122" spans="3:3" ht="14.4">
      <c r="C122" s="151"/>
    </row>
    <row r="123" spans="3:3" ht="14.4">
      <c r="C123" s="151"/>
    </row>
    <row r="124" spans="3:3" ht="14.4">
      <c r="C124" s="151"/>
    </row>
    <row r="125" spans="3:3" ht="14.4">
      <c r="C125" s="151"/>
    </row>
    <row r="126" spans="3:3" ht="14.4">
      <c r="C126" s="151"/>
    </row>
    <row r="127" spans="3:3" ht="14.4">
      <c r="C127" s="151"/>
    </row>
    <row r="128" spans="3:3" ht="14.4">
      <c r="C128" s="151"/>
    </row>
    <row r="129" spans="3:3" ht="14.4">
      <c r="C129" s="151"/>
    </row>
    <row r="130" spans="3:3" ht="14.4">
      <c r="C130" s="151"/>
    </row>
    <row r="131" spans="3:3" ht="14.4">
      <c r="C131" s="151"/>
    </row>
    <row r="132" spans="3:3" ht="14.4">
      <c r="C132" s="151"/>
    </row>
    <row r="133" spans="3:3" ht="14.4">
      <c r="C133" s="151"/>
    </row>
    <row r="134" spans="3:3" ht="14.4">
      <c r="C134" s="151"/>
    </row>
    <row r="135" spans="3:3" ht="14.4">
      <c r="C135" s="151"/>
    </row>
    <row r="136" spans="3:3" ht="14.4">
      <c r="C136" s="151"/>
    </row>
    <row r="137" spans="3:3" ht="14.4">
      <c r="C137" s="151"/>
    </row>
    <row r="138" spans="3:3" ht="14.4">
      <c r="C138" s="151"/>
    </row>
    <row r="139" spans="3:3" ht="14.4">
      <c r="C139" s="151"/>
    </row>
    <row r="140" spans="3:3" ht="14.4">
      <c r="C140" s="151"/>
    </row>
    <row r="141" spans="3:3" ht="14.4">
      <c r="C141" s="151"/>
    </row>
    <row r="142" spans="3:3" ht="14.4">
      <c r="C142" s="151"/>
    </row>
    <row r="143" spans="3:3" ht="14.4">
      <c r="C143" s="151"/>
    </row>
    <row r="144" spans="3:3" ht="14.4">
      <c r="C144" s="151"/>
    </row>
    <row r="145" spans="3:3" ht="14.4">
      <c r="C145" s="151"/>
    </row>
    <row r="146" spans="3:3" ht="14.4">
      <c r="C146" s="151"/>
    </row>
    <row r="147" spans="3:3" ht="14.4">
      <c r="C147" s="151"/>
    </row>
    <row r="148" spans="3:3" ht="14.4">
      <c r="C148" s="151"/>
    </row>
    <row r="149" spans="3:3" ht="14.4">
      <c r="C149" s="151"/>
    </row>
    <row r="150" spans="3:3" ht="14.4">
      <c r="C150" s="151"/>
    </row>
    <row r="151" spans="3:3" ht="14.4">
      <c r="C151" s="151"/>
    </row>
    <row r="152" spans="3:3" ht="14.4">
      <c r="C152" s="151"/>
    </row>
    <row r="153" spans="3:3" ht="14.4">
      <c r="C153" s="151"/>
    </row>
    <row r="154" spans="3:3" ht="14.4">
      <c r="C154" s="151"/>
    </row>
    <row r="155" spans="3:3" ht="14.4">
      <c r="C155" s="151"/>
    </row>
    <row r="156" spans="3:3" ht="14.4">
      <c r="C156" s="151"/>
    </row>
    <row r="157" spans="3:3" ht="14.4">
      <c r="C157" s="151"/>
    </row>
    <row r="158" spans="3:3" ht="14.4">
      <c r="C158" s="151"/>
    </row>
    <row r="159" spans="3:3" ht="14.4">
      <c r="C159" s="151"/>
    </row>
    <row r="160" spans="3:3" ht="14.4">
      <c r="C160" s="151"/>
    </row>
    <row r="161" spans="3:3" ht="14.4">
      <c r="C161" s="151"/>
    </row>
    <row r="162" spans="3:3" ht="14.4">
      <c r="C162" s="151"/>
    </row>
    <row r="163" spans="3:3" ht="14.4">
      <c r="C163" s="151"/>
    </row>
    <row r="164" spans="3:3" ht="14.4">
      <c r="C164" s="151"/>
    </row>
    <row r="165" spans="3:3" ht="14.4">
      <c r="C165" s="151"/>
    </row>
    <row r="166" spans="3:3" ht="14.4">
      <c r="C166" s="151"/>
    </row>
    <row r="167" spans="3:3" ht="14.4">
      <c r="C167" s="151"/>
    </row>
    <row r="168" spans="3:3" ht="14.4">
      <c r="C168" s="151"/>
    </row>
    <row r="169" spans="3:3" ht="14.4">
      <c r="C169" s="151"/>
    </row>
    <row r="170" spans="3:3" ht="14.4">
      <c r="C170" s="151"/>
    </row>
    <row r="171" spans="3:3" ht="14.4">
      <c r="C171" s="151"/>
    </row>
    <row r="172" spans="3:3" ht="14.4">
      <c r="C172" s="151"/>
    </row>
    <row r="173" spans="3:3" ht="14.4">
      <c r="C173" s="151"/>
    </row>
    <row r="174" spans="3:3" ht="14.4">
      <c r="C174" s="151"/>
    </row>
    <row r="175" spans="3:3" ht="14.4">
      <c r="C175" s="151"/>
    </row>
    <row r="176" spans="3:3" ht="14.4">
      <c r="C176" s="151"/>
    </row>
    <row r="177" spans="3:3" ht="14.4">
      <c r="C177" s="151"/>
    </row>
    <row r="178" spans="3:3" ht="14.4">
      <c r="C178" s="151"/>
    </row>
    <row r="179" spans="3:3" ht="14.4">
      <c r="C179" s="151"/>
    </row>
    <row r="180" spans="3:3" ht="14.4">
      <c r="C180" s="151"/>
    </row>
    <row r="181" spans="3:3" ht="14.4">
      <c r="C181" s="151"/>
    </row>
    <row r="182" spans="3:3" ht="14.4">
      <c r="C182" s="151"/>
    </row>
    <row r="183" spans="3:3" ht="14.4">
      <c r="C183" s="151"/>
    </row>
    <row r="184" spans="3:3" ht="14.4">
      <c r="C184" s="151"/>
    </row>
    <row r="185" spans="3:3" ht="14.4">
      <c r="C185" s="151"/>
    </row>
    <row r="186" spans="3:3" ht="14.4">
      <c r="C186" s="151"/>
    </row>
    <row r="187" spans="3:3" ht="14.4">
      <c r="C187" s="151"/>
    </row>
    <row r="188" spans="3:3" ht="14.4">
      <c r="C188" s="151"/>
    </row>
    <row r="189" spans="3:3" ht="14.4">
      <c r="C189" s="151"/>
    </row>
    <row r="190" spans="3:3" ht="14.4">
      <c r="C190" s="151"/>
    </row>
    <row r="191" spans="3:3" ht="14.4">
      <c r="C191" s="151"/>
    </row>
    <row r="192" spans="3:3" ht="14.4">
      <c r="C192" s="151"/>
    </row>
    <row r="193" spans="3:3" ht="14.4">
      <c r="C193" s="151"/>
    </row>
    <row r="194" spans="3:3" ht="14.4">
      <c r="C194" s="151"/>
    </row>
    <row r="195" spans="3:3" ht="14.4">
      <c r="C195" s="151"/>
    </row>
    <row r="196" spans="3:3" ht="14.4">
      <c r="C196" s="151"/>
    </row>
    <row r="197" spans="3:3" ht="14.4">
      <c r="C197" s="151"/>
    </row>
    <row r="198" spans="3:3" ht="14.4">
      <c r="C198" s="151"/>
    </row>
    <row r="199" spans="3:3" ht="14.4">
      <c r="C199" s="151"/>
    </row>
    <row r="200" spans="3:3" ht="14.4">
      <c r="C200" s="151"/>
    </row>
    <row r="201" spans="3:3" ht="14.4">
      <c r="C201" s="151"/>
    </row>
    <row r="202" spans="3:3" ht="14.4">
      <c r="C202" s="151"/>
    </row>
    <row r="203" spans="3:3" ht="14.4">
      <c r="C203" s="151"/>
    </row>
    <row r="204" spans="3:3" ht="14.4">
      <c r="C204" s="151"/>
    </row>
    <row r="205" spans="3:3" ht="14.4">
      <c r="C205" s="151"/>
    </row>
    <row r="206" spans="3:3" ht="14.4">
      <c r="C206" s="151"/>
    </row>
    <row r="207" spans="3:3" ht="14.4">
      <c r="C207" s="151"/>
    </row>
    <row r="208" spans="3:3" ht="14.4">
      <c r="C208" s="151"/>
    </row>
    <row r="209" spans="3:3" ht="14.4">
      <c r="C209" s="151"/>
    </row>
    <row r="210" spans="3:3" ht="14.4">
      <c r="C210" s="151"/>
    </row>
    <row r="211" spans="3:3" ht="14.4">
      <c r="C211" s="151"/>
    </row>
    <row r="212" spans="3:3" ht="14.4">
      <c r="C212" s="151"/>
    </row>
    <row r="213" spans="3:3" ht="14.4">
      <c r="C213" s="151"/>
    </row>
    <row r="214" spans="3:3" ht="14.4">
      <c r="C214" s="151"/>
    </row>
    <row r="215" spans="3:3" ht="14.4">
      <c r="C215" s="151"/>
    </row>
    <row r="216" spans="3:3" ht="14.4">
      <c r="C216" s="151"/>
    </row>
    <row r="217" spans="3:3" ht="14.4">
      <c r="C217" s="151"/>
    </row>
    <row r="218" spans="3:3" ht="14.4">
      <c r="C218" s="151"/>
    </row>
    <row r="219" spans="3:3" ht="14.4">
      <c r="C219" s="151"/>
    </row>
    <row r="220" spans="3:3" ht="14.4">
      <c r="C220" s="151"/>
    </row>
    <row r="221" spans="3:3" ht="14.4">
      <c r="C221" s="151"/>
    </row>
    <row r="222" spans="3:3" ht="14.4">
      <c r="C222" s="151"/>
    </row>
    <row r="223" spans="3:3" ht="14.4">
      <c r="C223" s="151"/>
    </row>
    <row r="224" spans="3:3" ht="14.4">
      <c r="C224" s="151"/>
    </row>
    <row r="225" spans="3:3" ht="14.4">
      <c r="C225" s="151"/>
    </row>
    <row r="226" spans="3:3" ht="14.4">
      <c r="C226" s="151"/>
    </row>
    <row r="227" spans="3:3" ht="14.4">
      <c r="C227" s="151"/>
    </row>
    <row r="228" spans="3:3" ht="14.4">
      <c r="C228" s="151"/>
    </row>
    <row r="229" spans="3:3" ht="14.4">
      <c r="C229" s="151"/>
    </row>
    <row r="230" spans="3:3" ht="14.4">
      <c r="C230" s="151"/>
    </row>
    <row r="231" spans="3:3" ht="14.4">
      <c r="C231" s="151"/>
    </row>
    <row r="232" spans="3:3" ht="14.4">
      <c r="C232" s="151"/>
    </row>
    <row r="233" spans="3:3" ht="14.4">
      <c r="C233" s="151"/>
    </row>
    <row r="234" spans="3:3" ht="14.4">
      <c r="C234" s="151"/>
    </row>
    <row r="235" spans="3:3" ht="14.4">
      <c r="C235" s="151"/>
    </row>
    <row r="236" spans="3:3" ht="14.4">
      <c r="C236" s="151"/>
    </row>
    <row r="237" spans="3:3" ht="14.4">
      <c r="C237" s="151"/>
    </row>
    <row r="238" spans="3:3" ht="14.4">
      <c r="C238" s="151"/>
    </row>
    <row r="239" spans="3:3" ht="14.4">
      <c r="C239" s="151"/>
    </row>
    <row r="240" spans="3:3" ht="14.4">
      <c r="C240" s="151"/>
    </row>
    <row r="241" spans="3:3" ht="14.4">
      <c r="C241" s="151"/>
    </row>
    <row r="242" spans="3:3" ht="14.4">
      <c r="C242" s="151"/>
    </row>
    <row r="243" spans="3:3" ht="14.4">
      <c r="C243" s="151"/>
    </row>
    <row r="244" spans="3:3" ht="14.4">
      <c r="C244" s="151"/>
    </row>
    <row r="245" spans="3:3" ht="14.4">
      <c r="C245" s="151"/>
    </row>
    <row r="246" spans="3:3" ht="14.4">
      <c r="C246" s="151"/>
    </row>
    <row r="247" spans="3:3" ht="14.4">
      <c r="C247" s="151"/>
    </row>
    <row r="248" spans="3:3" ht="14.4">
      <c r="C248" s="151"/>
    </row>
    <row r="249" spans="3:3" ht="14.4">
      <c r="C249" s="151"/>
    </row>
    <row r="250" spans="3:3" ht="14.4">
      <c r="C250" s="151"/>
    </row>
    <row r="251" spans="3:3" ht="14.4">
      <c r="C251" s="151"/>
    </row>
    <row r="252" spans="3:3" ht="14.4">
      <c r="C252" s="151"/>
    </row>
    <row r="253" spans="3:3" ht="14.4">
      <c r="C253" s="151"/>
    </row>
    <row r="254" spans="3:3" ht="14.4">
      <c r="C254" s="151"/>
    </row>
    <row r="255" spans="3:3" ht="14.4">
      <c r="C255" s="151"/>
    </row>
    <row r="256" spans="3:3" ht="14.4">
      <c r="C256" s="151"/>
    </row>
    <row r="257" spans="3:3" ht="14.4">
      <c r="C257" s="151"/>
    </row>
    <row r="258" spans="3:3" ht="14.4">
      <c r="C258" s="151"/>
    </row>
    <row r="259" spans="3:3" ht="14.4">
      <c r="C259" s="151"/>
    </row>
    <row r="260" spans="3:3" ht="14.4">
      <c r="C260" s="151"/>
    </row>
    <row r="261" spans="3:3" ht="14.4">
      <c r="C261" s="151"/>
    </row>
    <row r="262" spans="3:3" ht="14.4">
      <c r="C262" s="151"/>
    </row>
    <row r="263" spans="3:3" ht="14.4">
      <c r="C263" s="151"/>
    </row>
    <row r="264" spans="3:3" ht="14.4">
      <c r="C264" s="151"/>
    </row>
    <row r="265" spans="3:3" ht="14.4">
      <c r="C265" s="151"/>
    </row>
    <row r="266" spans="3:3" ht="14.4">
      <c r="C266" s="151"/>
    </row>
    <row r="267" spans="3:3" ht="14.4">
      <c r="C267" s="151"/>
    </row>
    <row r="268" spans="3:3" ht="14.4">
      <c r="C268" s="151"/>
    </row>
    <row r="269" spans="3:3" ht="14.4">
      <c r="C269" s="151"/>
    </row>
    <row r="270" spans="3:3" ht="14.4">
      <c r="C270" s="151"/>
    </row>
    <row r="271" spans="3:3" ht="14.4">
      <c r="C271" s="151"/>
    </row>
    <row r="272" spans="3:3" ht="14.4">
      <c r="C272" s="151"/>
    </row>
    <row r="273" spans="3:3" ht="14.4">
      <c r="C273" s="151"/>
    </row>
    <row r="274" spans="3:3" ht="14.4">
      <c r="C274" s="151"/>
    </row>
    <row r="275" spans="3:3" ht="14.4">
      <c r="C275" s="151"/>
    </row>
    <row r="276" spans="3:3" ht="14.4">
      <c r="C276" s="151"/>
    </row>
    <row r="277" spans="3:3" ht="14.4">
      <c r="C277" s="151"/>
    </row>
    <row r="278" spans="3:3" ht="14.4">
      <c r="C278" s="151"/>
    </row>
    <row r="279" spans="3:3" ht="14.4">
      <c r="C279" s="151"/>
    </row>
    <row r="280" spans="3:3" ht="14.4">
      <c r="C280" s="151"/>
    </row>
    <row r="281" spans="3:3" ht="14.4">
      <c r="C281" s="151"/>
    </row>
    <row r="282" spans="3:3" ht="14.4">
      <c r="C282" s="151"/>
    </row>
    <row r="283" spans="3:3" ht="14.4">
      <c r="C283" s="151"/>
    </row>
    <row r="284" spans="3:3" ht="14.4">
      <c r="C284" s="151"/>
    </row>
    <row r="285" spans="3:3" ht="14.4">
      <c r="C285" s="151"/>
    </row>
    <row r="286" spans="3:3" ht="14.4">
      <c r="C286" s="151"/>
    </row>
    <row r="287" spans="3:3" ht="14.4">
      <c r="C287" s="151"/>
    </row>
    <row r="288" spans="3:3" ht="14.4">
      <c r="C288" s="151"/>
    </row>
    <row r="289" spans="3:3" ht="14.4">
      <c r="C289" s="151"/>
    </row>
    <row r="290" spans="3:3" ht="14.4">
      <c r="C290" s="151"/>
    </row>
    <row r="291" spans="3:3" ht="14.4">
      <c r="C291" s="151"/>
    </row>
    <row r="292" spans="3:3" ht="14.4">
      <c r="C292" s="151"/>
    </row>
    <row r="293" spans="3:3" ht="14.4">
      <c r="C293" s="151"/>
    </row>
    <row r="294" spans="3:3" ht="14.4">
      <c r="C294" s="151"/>
    </row>
    <row r="295" spans="3:3" ht="14.4">
      <c r="C295" s="151"/>
    </row>
    <row r="296" spans="3:3" ht="14.4">
      <c r="C296" s="151"/>
    </row>
    <row r="297" spans="3:3" ht="14.4">
      <c r="C297" s="151"/>
    </row>
    <row r="298" spans="3:3" ht="14.4">
      <c r="C298" s="151"/>
    </row>
    <row r="299" spans="3:3" ht="14.4">
      <c r="C299" s="151"/>
    </row>
    <row r="300" spans="3:3" ht="14.4">
      <c r="C300" s="151"/>
    </row>
    <row r="301" spans="3:3" ht="14.4">
      <c r="C301" s="151"/>
    </row>
    <row r="302" spans="3:3" ht="14.4">
      <c r="C302" s="151"/>
    </row>
    <row r="303" spans="3:3" ht="14.4">
      <c r="C303" s="151"/>
    </row>
    <row r="304" spans="3:3" ht="14.4">
      <c r="C304" s="151"/>
    </row>
    <row r="305" spans="3:3" ht="14.4">
      <c r="C305" s="151"/>
    </row>
    <row r="306" spans="3:3" ht="14.4">
      <c r="C306" s="151"/>
    </row>
    <row r="307" spans="3:3" ht="14.4">
      <c r="C307" s="151"/>
    </row>
    <row r="308" spans="3:3" ht="14.4">
      <c r="C308" s="151"/>
    </row>
    <row r="309" spans="3:3" ht="14.4">
      <c r="C309" s="151"/>
    </row>
    <row r="310" spans="3:3" ht="14.4">
      <c r="C310" s="151"/>
    </row>
    <row r="311" spans="3:3" ht="14.4">
      <c r="C311" s="151"/>
    </row>
    <row r="312" spans="3:3" ht="14.4">
      <c r="C312" s="151"/>
    </row>
    <row r="313" spans="3:3" ht="14.4">
      <c r="C313" s="151"/>
    </row>
    <row r="314" spans="3:3" ht="14.4">
      <c r="C314" s="151"/>
    </row>
    <row r="315" spans="3:3" ht="14.4">
      <c r="C315" s="151"/>
    </row>
    <row r="316" spans="3:3" ht="14.4">
      <c r="C316" s="151"/>
    </row>
    <row r="317" spans="3:3" ht="14.4">
      <c r="C317" s="151"/>
    </row>
    <row r="318" spans="3:3" ht="14.4">
      <c r="C318" s="151"/>
    </row>
    <row r="319" spans="3:3" ht="14.4">
      <c r="C319" s="151"/>
    </row>
    <row r="320" spans="3:3" ht="14.4">
      <c r="C320" s="151"/>
    </row>
    <row r="321" spans="3:3" ht="14.4">
      <c r="C321" s="151"/>
    </row>
    <row r="322" spans="3:3" ht="14.4">
      <c r="C322" s="151"/>
    </row>
    <row r="323" spans="3:3" ht="14.4">
      <c r="C323" s="151"/>
    </row>
    <row r="324" spans="3:3" ht="14.4">
      <c r="C324" s="151"/>
    </row>
    <row r="325" spans="3:3" ht="14.4">
      <c r="C325" s="151"/>
    </row>
    <row r="326" spans="3:3" ht="14.4">
      <c r="C326" s="151"/>
    </row>
    <row r="327" spans="3:3" ht="14.4">
      <c r="C327" s="151"/>
    </row>
    <row r="328" spans="3:3" ht="14.4">
      <c r="C328" s="151"/>
    </row>
    <row r="329" spans="3:3" ht="14.4">
      <c r="C329" s="151"/>
    </row>
    <row r="330" spans="3:3" ht="14.4">
      <c r="C330" s="151"/>
    </row>
    <row r="331" spans="3:3" ht="14.4">
      <c r="C331" s="151"/>
    </row>
    <row r="332" spans="3:3" ht="14.4">
      <c r="C332" s="151"/>
    </row>
    <row r="333" spans="3:3" ht="14.4">
      <c r="C333" s="151"/>
    </row>
    <row r="334" spans="3:3" ht="14.4">
      <c r="C334" s="151"/>
    </row>
    <row r="335" spans="3:3" ht="14.4">
      <c r="C335" s="151"/>
    </row>
    <row r="336" spans="3:3" ht="14.4">
      <c r="C336" s="151"/>
    </row>
    <row r="337" spans="3:3" ht="14.4">
      <c r="C337" s="151"/>
    </row>
    <row r="338" spans="3:3" ht="14.4">
      <c r="C338" s="151"/>
    </row>
    <row r="339" spans="3:3" ht="14.4">
      <c r="C339" s="151"/>
    </row>
    <row r="340" spans="3:3" ht="14.4">
      <c r="C340" s="151"/>
    </row>
    <row r="341" spans="3:3" ht="14.4">
      <c r="C341" s="151"/>
    </row>
    <row r="342" spans="3:3" ht="14.4">
      <c r="C342" s="151"/>
    </row>
    <row r="343" spans="3:3" ht="14.4">
      <c r="C343" s="151"/>
    </row>
    <row r="344" spans="3:3" ht="14.4">
      <c r="C344" s="151"/>
    </row>
    <row r="345" spans="3:3" ht="14.4">
      <c r="C345" s="151"/>
    </row>
    <row r="346" spans="3:3" ht="14.4">
      <c r="C346" s="151"/>
    </row>
    <row r="347" spans="3:3" ht="14.4">
      <c r="C347" s="151"/>
    </row>
    <row r="348" spans="3:3" ht="14.4">
      <c r="C348" s="151"/>
    </row>
    <row r="349" spans="3:3" ht="14.4">
      <c r="C349" s="151"/>
    </row>
    <row r="350" spans="3:3" ht="14.4">
      <c r="C350" s="151"/>
    </row>
    <row r="351" spans="3:3" ht="14.4">
      <c r="C351" s="151"/>
    </row>
    <row r="352" spans="3:3" ht="14.4">
      <c r="C352" s="151"/>
    </row>
    <row r="353" spans="3:3" ht="14.4">
      <c r="C353" s="151"/>
    </row>
    <row r="354" spans="3:3" ht="14.4">
      <c r="C354" s="151"/>
    </row>
    <row r="355" spans="3:3" ht="14.4">
      <c r="C355" s="151"/>
    </row>
    <row r="356" spans="3:3" ht="14.4">
      <c r="C356" s="151"/>
    </row>
    <row r="357" spans="3:3" ht="14.4">
      <c r="C357" s="151"/>
    </row>
    <row r="358" spans="3:3" ht="14.4">
      <c r="C358" s="151"/>
    </row>
    <row r="359" spans="3:3" ht="14.4">
      <c r="C359" s="151"/>
    </row>
    <row r="360" spans="3:3" ht="14.4">
      <c r="C360" s="151"/>
    </row>
    <row r="361" spans="3:3" ht="14.4">
      <c r="C361" s="151"/>
    </row>
    <row r="362" spans="3:3" ht="14.4">
      <c r="C362" s="151"/>
    </row>
    <row r="363" spans="3:3" ht="14.4">
      <c r="C363" s="151"/>
    </row>
    <row r="364" spans="3:3" ht="14.4">
      <c r="C364" s="151"/>
    </row>
    <row r="365" spans="3:3" ht="14.4">
      <c r="C365" s="151"/>
    </row>
    <row r="366" spans="3:3" ht="14.4">
      <c r="C366" s="151"/>
    </row>
    <row r="367" spans="3:3" ht="14.4">
      <c r="C367" s="151"/>
    </row>
    <row r="368" spans="3:3" ht="14.4">
      <c r="C368" s="151"/>
    </row>
    <row r="369" spans="3:3" ht="14.4">
      <c r="C369" s="151"/>
    </row>
    <row r="370" spans="3:3" ht="14.4">
      <c r="C370" s="151"/>
    </row>
    <row r="371" spans="3:3" ht="14.4">
      <c r="C371" s="151"/>
    </row>
    <row r="372" spans="3:3" ht="14.4">
      <c r="C372" s="151"/>
    </row>
    <row r="373" spans="3:3" ht="14.4">
      <c r="C373" s="151"/>
    </row>
    <row r="374" spans="3:3" ht="14.4">
      <c r="C374" s="151"/>
    </row>
    <row r="375" spans="3:3" ht="14.4">
      <c r="C375" s="151"/>
    </row>
    <row r="376" spans="3:3" ht="14.4">
      <c r="C376" s="151"/>
    </row>
    <row r="377" spans="3:3" ht="14.4">
      <c r="C377" s="151"/>
    </row>
    <row r="378" spans="3:3" ht="14.4">
      <c r="C378" s="151"/>
    </row>
    <row r="379" spans="3:3" ht="14.4">
      <c r="C379" s="151"/>
    </row>
    <row r="380" spans="3:3" ht="14.4">
      <c r="C380" s="151"/>
    </row>
    <row r="381" spans="3:3" ht="14.4">
      <c r="C381" s="151"/>
    </row>
    <row r="382" spans="3:3" ht="14.4">
      <c r="C382" s="151"/>
    </row>
    <row r="383" spans="3:3" ht="14.4">
      <c r="C383" s="151"/>
    </row>
    <row r="384" spans="3:3" ht="14.4">
      <c r="C384" s="151"/>
    </row>
    <row r="385" spans="3:3" ht="14.4">
      <c r="C385" s="151"/>
    </row>
    <row r="386" spans="3:3" ht="14.4">
      <c r="C386" s="151"/>
    </row>
    <row r="387" spans="3:3" ht="14.4">
      <c r="C387" s="151"/>
    </row>
    <row r="388" spans="3:3" ht="14.4">
      <c r="C388" s="151"/>
    </row>
    <row r="389" spans="3:3" ht="14.4">
      <c r="C389" s="151"/>
    </row>
    <row r="390" spans="3:3" ht="14.4">
      <c r="C390" s="151"/>
    </row>
    <row r="391" spans="3:3" ht="14.4">
      <c r="C391" s="151"/>
    </row>
    <row r="392" spans="3:3" ht="14.4">
      <c r="C392" s="151"/>
    </row>
    <row r="393" spans="3:3" ht="14.4">
      <c r="C393" s="151"/>
    </row>
    <row r="394" spans="3:3" ht="14.4">
      <c r="C394" s="151"/>
    </row>
    <row r="395" spans="3:3" ht="14.4">
      <c r="C395" s="151"/>
    </row>
    <row r="396" spans="3:3" ht="14.4">
      <c r="C396" s="151"/>
    </row>
    <row r="397" spans="3:3" ht="14.4">
      <c r="C397" s="151"/>
    </row>
    <row r="398" spans="3:3" ht="14.4">
      <c r="C398" s="151"/>
    </row>
    <row r="399" spans="3:3" ht="14.4">
      <c r="C399" s="151"/>
    </row>
    <row r="400" spans="3:3" ht="14.4">
      <c r="C400" s="151"/>
    </row>
    <row r="401" spans="3:3" ht="14.4">
      <c r="C401" s="151"/>
    </row>
    <row r="402" spans="3:3" ht="14.4">
      <c r="C402" s="151"/>
    </row>
    <row r="403" spans="3:3" ht="14.4">
      <c r="C403" s="151"/>
    </row>
    <row r="404" spans="3:3" ht="14.4">
      <c r="C404" s="151"/>
    </row>
    <row r="405" spans="3:3" ht="14.4">
      <c r="C405" s="151"/>
    </row>
    <row r="406" spans="3:3" ht="14.4">
      <c r="C406" s="151"/>
    </row>
    <row r="407" spans="3:3" ht="14.4">
      <c r="C407" s="151"/>
    </row>
    <row r="408" spans="3:3" ht="14.4">
      <c r="C408" s="151"/>
    </row>
    <row r="409" spans="3:3" ht="14.4">
      <c r="C409" s="151"/>
    </row>
    <row r="410" spans="3:3" ht="14.4">
      <c r="C410" s="151"/>
    </row>
    <row r="411" spans="3:3" ht="14.4">
      <c r="C411" s="151"/>
    </row>
    <row r="412" spans="3:3" ht="14.4">
      <c r="C412" s="151"/>
    </row>
    <row r="413" spans="3:3" ht="14.4">
      <c r="C413" s="151"/>
    </row>
    <row r="414" spans="3:3" ht="14.4">
      <c r="C414" s="151"/>
    </row>
    <row r="415" spans="3:3" ht="14.4">
      <c r="C415" s="151"/>
    </row>
    <row r="416" spans="3:3" ht="14.4">
      <c r="C416" s="151"/>
    </row>
    <row r="417" spans="3:3" ht="14.4">
      <c r="C417" s="151"/>
    </row>
    <row r="418" spans="3:3" ht="14.4">
      <c r="C418" s="151"/>
    </row>
    <row r="419" spans="3:3" ht="14.4">
      <c r="C419" s="151"/>
    </row>
    <row r="420" spans="3:3" ht="14.4">
      <c r="C420" s="151"/>
    </row>
    <row r="421" spans="3:3" ht="14.4">
      <c r="C421" s="151"/>
    </row>
    <row r="422" spans="3:3" ht="14.4">
      <c r="C422" s="151"/>
    </row>
    <row r="423" spans="3:3" ht="14.4">
      <c r="C423" s="151"/>
    </row>
    <row r="424" spans="3:3" ht="14.4">
      <c r="C424" s="151"/>
    </row>
    <row r="425" spans="3:3" ht="14.4">
      <c r="C425" s="151"/>
    </row>
    <row r="426" spans="3:3" ht="14.4">
      <c r="C426" s="151"/>
    </row>
    <row r="427" spans="3:3" ht="14.4">
      <c r="C427" s="151"/>
    </row>
    <row r="428" spans="3:3" ht="14.4">
      <c r="C428" s="151"/>
    </row>
    <row r="429" spans="3:3" ht="14.4">
      <c r="C429" s="151"/>
    </row>
    <row r="430" spans="3:3" ht="14.4">
      <c r="C430" s="151"/>
    </row>
    <row r="431" spans="3:3" ht="14.4">
      <c r="C431" s="151"/>
    </row>
    <row r="432" spans="3:3" ht="14.4">
      <c r="C432" s="151"/>
    </row>
    <row r="433" spans="3:3" ht="14.4">
      <c r="C433" s="151"/>
    </row>
    <row r="434" spans="3:3" ht="14.4">
      <c r="C434" s="151"/>
    </row>
    <row r="435" spans="3:3" ht="14.4">
      <c r="C435" s="151"/>
    </row>
    <row r="436" spans="3:3" ht="14.4">
      <c r="C436" s="151"/>
    </row>
    <row r="437" spans="3:3" ht="14.4">
      <c r="C437" s="151"/>
    </row>
    <row r="438" spans="3:3" ht="14.4">
      <c r="C438" s="151"/>
    </row>
    <row r="439" spans="3:3" ht="14.4">
      <c r="C439" s="151"/>
    </row>
    <row r="440" spans="3:3" ht="14.4">
      <c r="C440" s="151"/>
    </row>
    <row r="441" spans="3:3" ht="14.4">
      <c r="C441" s="151"/>
    </row>
    <row r="442" spans="3:3" ht="14.4">
      <c r="C442" s="151"/>
    </row>
    <row r="443" spans="3:3" ht="14.4">
      <c r="C443" s="151"/>
    </row>
    <row r="444" spans="3:3" ht="14.4">
      <c r="C444" s="151"/>
    </row>
    <row r="445" spans="3:3" ht="14.4">
      <c r="C445" s="151"/>
    </row>
    <row r="446" spans="3:3" ht="14.4">
      <c r="C446" s="151"/>
    </row>
    <row r="447" spans="3:3" ht="14.4">
      <c r="C447" s="151"/>
    </row>
    <row r="448" spans="3:3" ht="14.4">
      <c r="C448" s="151"/>
    </row>
    <row r="449" spans="3:3" ht="14.4">
      <c r="C449" s="151"/>
    </row>
    <row r="450" spans="3:3" ht="14.4">
      <c r="C450" s="151"/>
    </row>
    <row r="451" spans="3:3" ht="14.4">
      <c r="C451" s="151"/>
    </row>
    <row r="452" spans="3:3" ht="14.4">
      <c r="C452" s="151"/>
    </row>
    <row r="453" spans="3:3" ht="14.4">
      <c r="C453" s="151"/>
    </row>
    <row r="454" spans="3:3" ht="14.4">
      <c r="C454" s="151"/>
    </row>
    <row r="455" spans="3:3" ht="14.4">
      <c r="C455" s="151"/>
    </row>
    <row r="456" spans="3:3" ht="14.4">
      <c r="C456" s="151"/>
    </row>
    <row r="457" spans="3:3" ht="14.4">
      <c r="C457" s="151"/>
    </row>
    <row r="458" spans="3:3" ht="14.4">
      <c r="C458" s="151"/>
    </row>
    <row r="459" spans="3:3" ht="14.4">
      <c r="C459" s="151"/>
    </row>
    <row r="460" spans="3:3" ht="14.4">
      <c r="C460" s="151"/>
    </row>
    <row r="461" spans="3:3" ht="14.4">
      <c r="C461" s="151"/>
    </row>
    <row r="462" spans="3:3" ht="14.4">
      <c r="C462" s="151"/>
    </row>
    <row r="463" spans="3:3" ht="14.4">
      <c r="C463" s="151"/>
    </row>
    <row r="464" spans="3:3" ht="14.4">
      <c r="C464" s="151"/>
    </row>
    <row r="465" spans="3:3" ht="14.4">
      <c r="C465" s="151"/>
    </row>
    <row r="466" spans="3:3" ht="14.4">
      <c r="C466" s="151"/>
    </row>
    <row r="467" spans="3:3" ht="14.4">
      <c r="C467" s="151"/>
    </row>
    <row r="468" spans="3:3" ht="14.4">
      <c r="C468" s="151"/>
    </row>
    <row r="469" spans="3:3" ht="14.4">
      <c r="C469" s="151"/>
    </row>
    <row r="470" spans="3:3" ht="14.4">
      <c r="C470" s="151"/>
    </row>
    <row r="471" spans="3:3" ht="14.4">
      <c r="C471" s="151"/>
    </row>
    <row r="472" spans="3:3" ht="14.4">
      <c r="C472" s="151"/>
    </row>
    <row r="473" spans="3:3" ht="14.4">
      <c r="C473" s="151"/>
    </row>
    <row r="474" spans="3:3" ht="14.4">
      <c r="C474" s="151"/>
    </row>
    <row r="475" spans="3:3" ht="14.4">
      <c r="C475" s="151"/>
    </row>
    <row r="476" spans="3:3" ht="14.4">
      <c r="C476" s="151"/>
    </row>
    <row r="477" spans="3:3" ht="14.4">
      <c r="C477" s="151"/>
    </row>
    <row r="478" spans="3:3" ht="14.4">
      <c r="C478" s="151"/>
    </row>
    <row r="479" spans="3:3" ht="14.4">
      <c r="C479" s="151"/>
    </row>
    <row r="480" spans="3:3" ht="14.4">
      <c r="C480" s="151"/>
    </row>
    <row r="481" spans="3:3" ht="14.4">
      <c r="C481" s="151"/>
    </row>
    <row r="482" spans="3:3" ht="14.4">
      <c r="C482" s="151"/>
    </row>
    <row r="483" spans="3:3" ht="14.4">
      <c r="C483" s="151"/>
    </row>
    <row r="484" spans="3:3" ht="14.4">
      <c r="C484" s="151"/>
    </row>
    <row r="485" spans="3:3" ht="14.4">
      <c r="C485" s="151"/>
    </row>
    <row r="486" spans="3:3" ht="14.4">
      <c r="C486" s="151"/>
    </row>
    <row r="487" spans="3:3" ht="14.4">
      <c r="C487" s="151"/>
    </row>
    <row r="488" spans="3:3" ht="14.4">
      <c r="C488" s="151"/>
    </row>
    <row r="489" spans="3:3" ht="14.4">
      <c r="C489" s="151"/>
    </row>
    <row r="490" spans="3:3" ht="14.4">
      <c r="C490" s="151"/>
    </row>
    <row r="491" spans="3:3" ht="14.4">
      <c r="C491" s="151"/>
    </row>
    <row r="492" spans="3:3" ht="14.4">
      <c r="C492" s="151"/>
    </row>
    <row r="493" spans="3:3" ht="14.4">
      <c r="C493" s="151"/>
    </row>
    <row r="494" spans="3:3" ht="14.4">
      <c r="C494" s="151"/>
    </row>
    <row r="495" spans="3:3" ht="14.4">
      <c r="C495" s="151"/>
    </row>
    <row r="496" spans="3:3" ht="14.4">
      <c r="C496" s="151"/>
    </row>
    <row r="497" spans="3:3" ht="14.4">
      <c r="C497" s="151"/>
    </row>
    <row r="498" spans="3:3" ht="14.4">
      <c r="C498" s="151"/>
    </row>
    <row r="499" spans="3:3" ht="14.4">
      <c r="C499" s="151"/>
    </row>
    <row r="500" spans="3:3" ht="14.4">
      <c r="C500" s="151"/>
    </row>
    <row r="501" spans="3:3" ht="14.4">
      <c r="C501" s="151"/>
    </row>
    <row r="502" spans="3:3" ht="14.4">
      <c r="C502" s="151"/>
    </row>
    <row r="503" spans="3:3" ht="14.4">
      <c r="C503" s="151"/>
    </row>
    <row r="504" spans="3:3" ht="14.4">
      <c r="C504" s="151"/>
    </row>
    <row r="505" spans="3:3" ht="14.4">
      <c r="C505" s="151"/>
    </row>
    <row r="506" spans="3:3" ht="14.4">
      <c r="C506" s="151"/>
    </row>
    <row r="507" spans="3:3" ht="14.4">
      <c r="C507" s="151"/>
    </row>
    <row r="508" spans="3:3" ht="14.4">
      <c r="C508" s="151"/>
    </row>
    <row r="509" spans="3:3" ht="14.4">
      <c r="C509" s="151"/>
    </row>
    <row r="510" spans="3:3" ht="14.4">
      <c r="C510" s="151"/>
    </row>
    <row r="511" spans="3:3" ht="14.4">
      <c r="C511" s="151"/>
    </row>
    <row r="512" spans="3:3" ht="14.4">
      <c r="C512" s="151"/>
    </row>
    <row r="513" spans="3:3" ht="14.4">
      <c r="C513" s="151"/>
    </row>
    <row r="514" spans="3:3" ht="14.4">
      <c r="C514" s="151"/>
    </row>
    <row r="515" spans="3:3" ht="14.4">
      <c r="C515" s="151"/>
    </row>
    <row r="516" spans="3:3" ht="14.4">
      <c r="C516" s="151"/>
    </row>
    <row r="517" spans="3:3" ht="14.4">
      <c r="C517" s="151"/>
    </row>
    <row r="518" spans="3:3" ht="14.4">
      <c r="C518" s="151"/>
    </row>
    <row r="519" spans="3:3" ht="14.4">
      <c r="C519" s="151"/>
    </row>
    <row r="520" spans="3:3" ht="14.4">
      <c r="C520" s="151"/>
    </row>
    <row r="521" spans="3:3" ht="14.4">
      <c r="C521" s="151"/>
    </row>
    <row r="522" spans="3:3" ht="14.4">
      <c r="C522" s="151"/>
    </row>
    <row r="523" spans="3:3" ht="14.4">
      <c r="C523" s="151"/>
    </row>
    <row r="524" spans="3:3" ht="14.4">
      <c r="C524" s="151"/>
    </row>
    <row r="525" spans="3:3" ht="14.4">
      <c r="C525" s="151"/>
    </row>
    <row r="526" spans="3:3" ht="14.4">
      <c r="C526" s="151"/>
    </row>
    <row r="527" spans="3:3" ht="14.4">
      <c r="C527" s="151"/>
    </row>
    <row r="528" spans="3:3" ht="14.4">
      <c r="C528" s="151"/>
    </row>
    <row r="529" spans="3:3" ht="14.4">
      <c r="C529" s="151"/>
    </row>
    <row r="530" spans="3:3" ht="14.4">
      <c r="C530" s="151"/>
    </row>
    <row r="531" spans="3:3" ht="14.4">
      <c r="C531" s="151"/>
    </row>
    <row r="532" spans="3:3" ht="14.4">
      <c r="C532" s="151"/>
    </row>
    <row r="533" spans="3:3" ht="14.4">
      <c r="C533" s="151"/>
    </row>
    <row r="534" spans="3:3" ht="14.4">
      <c r="C534" s="151"/>
    </row>
    <row r="535" spans="3:3" ht="14.4">
      <c r="C535" s="151"/>
    </row>
    <row r="536" spans="3:3" ht="14.4">
      <c r="C536" s="151"/>
    </row>
    <row r="537" spans="3:3" ht="14.4">
      <c r="C537" s="151"/>
    </row>
    <row r="538" spans="3:3" ht="14.4">
      <c r="C538" s="151"/>
    </row>
    <row r="539" spans="3:3" ht="14.4">
      <c r="C539" s="151"/>
    </row>
    <row r="540" spans="3:3" ht="14.4">
      <c r="C540" s="151"/>
    </row>
    <row r="541" spans="3:3" ht="14.4">
      <c r="C541" s="151"/>
    </row>
    <row r="542" spans="3:3" ht="14.4">
      <c r="C542" s="151"/>
    </row>
    <row r="543" spans="3:3" ht="14.4">
      <c r="C543" s="151"/>
    </row>
    <row r="544" spans="3:3" ht="14.4">
      <c r="C544" s="151"/>
    </row>
    <row r="545" spans="3:3" ht="14.4">
      <c r="C545" s="151"/>
    </row>
    <row r="546" spans="3:3" ht="14.4">
      <c r="C546" s="151"/>
    </row>
    <row r="547" spans="3:3" ht="14.4">
      <c r="C547" s="151"/>
    </row>
    <row r="548" spans="3:3" ht="14.4">
      <c r="C548" s="151"/>
    </row>
    <row r="549" spans="3:3" ht="14.4">
      <c r="C549" s="151"/>
    </row>
    <row r="550" spans="3:3" ht="14.4">
      <c r="C550" s="151"/>
    </row>
    <row r="551" spans="3:3" ht="14.4">
      <c r="C551" s="151"/>
    </row>
    <row r="552" spans="3:3" ht="14.4">
      <c r="C552" s="151"/>
    </row>
    <row r="553" spans="3:3" ht="14.4">
      <c r="C553" s="151"/>
    </row>
    <row r="554" spans="3:3" ht="14.4">
      <c r="C554" s="151"/>
    </row>
    <row r="555" spans="3:3" ht="14.4">
      <c r="C555" s="151"/>
    </row>
    <row r="556" spans="3:3" ht="14.4">
      <c r="C556" s="151"/>
    </row>
    <row r="557" spans="3:3" ht="14.4">
      <c r="C557" s="151"/>
    </row>
    <row r="558" spans="3:3" ht="14.4">
      <c r="C558" s="151"/>
    </row>
    <row r="559" spans="3:3" ht="14.4">
      <c r="C559" s="151"/>
    </row>
    <row r="560" spans="3:3" ht="14.4">
      <c r="C560" s="151"/>
    </row>
    <row r="561" spans="3:3" ht="14.4">
      <c r="C561" s="151"/>
    </row>
    <row r="562" spans="3:3" ht="14.4">
      <c r="C562" s="151"/>
    </row>
    <row r="563" spans="3:3" ht="14.4">
      <c r="C563" s="151"/>
    </row>
    <row r="564" spans="3:3" ht="14.4">
      <c r="C564" s="151"/>
    </row>
    <row r="565" spans="3:3" ht="14.4">
      <c r="C565" s="151"/>
    </row>
    <row r="566" spans="3:3" ht="14.4">
      <c r="C566" s="151"/>
    </row>
    <row r="567" spans="3:3" ht="14.4">
      <c r="C567" s="151"/>
    </row>
    <row r="568" spans="3:3" ht="14.4">
      <c r="C568" s="151"/>
    </row>
    <row r="569" spans="3:3" ht="14.4">
      <c r="C569" s="151"/>
    </row>
    <row r="570" spans="3:3" ht="14.4">
      <c r="C570" s="151"/>
    </row>
    <row r="571" spans="3:3" ht="14.4">
      <c r="C571" s="151"/>
    </row>
    <row r="572" spans="3:3" ht="14.4">
      <c r="C572" s="151"/>
    </row>
    <row r="573" spans="3:3" ht="14.4">
      <c r="C573" s="151"/>
    </row>
    <row r="574" spans="3:3" ht="14.4">
      <c r="C574" s="151"/>
    </row>
    <row r="575" spans="3:3" ht="14.4">
      <c r="C575" s="151"/>
    </row>
    <row r="576" spans="3:3" ht="14.4">
      <c r="C576" s="151"/>
    </row>
    <row r="577" spans="3:3" ht="14.4">
      <c r="C577" s="151"/>
    </row>
    <row r="578" spans="3:3" ht="14.4">
      <c r="C578" s="151"/>
    </row>
    <row r="579" spans="3:3" ht="14.4">
      <c r="C579" s="151"/>
    </row>
    <row r="580" spans="3:3" ht="14.4">
      <c r="C580" s="151"/>
    </row>
    <row r="581" spans="3:3" ht="14.4">
      <c r="C581" s="151"/>
    </row>
    <row r="582" spans="3:3" ht="14.4">
      <c r="C582" s="151"/>
    </row>
    <row r="583" spans="3:3" ht="14.4">
      <c r="C583" s="151"/>
    </row>
    <row r="584" spans="3:3" ht="14.4">
      <c r="C584" s="151"/>
    </row>
    <row r="585" spans="3:3" ht="14.4">
      <c r="C585" s="151"/>
    </row>
    <row r="586" spans="3:3" ht="14.4">
      <c r="C586" s="151"/>
    </row>
    <row r="587" spans="3:3" ht="14.4">
      <c r="C587" s="151"/>
    </row>
    <row r="588" spans="3:3" ht="14.4">
      <c r="C588" s="151"/>
    </row>
    <row r="589" spans="3:3" ht="14.4">
      <c r="C589" s="151"/>
    </row>
    <row r="590" spans="3:3" ht="14.4">
      <c r="C590" s="151"/>
    </row>
    <row r="591" spans="3:3" ht="14.4">
      <c r="C591" s="151"/>
    </row>
    <row r="592" spans="3:3" ht="14.4">
      <c r="C592" s="151"/>
    </row>
    <row r="593" spans="3:3" ht="14.4">
      <c r="C593" s="151"/>
    </row>
    <row r="594" spans="3:3" ht="14.4">
      <c r="C594" s="151"/>
    </row>
    <row r="595" spans="3:3" ht="14.4">
      <c r="C595" s="151"/>
    </row>
    <row r="596" spans="3:3" ht="14.4">
      <c r="C596" s="151"/>
    </row>
    <row r="597" spans="3:3" ht="14.4">
      <c r="C597" s="151"/>
    </row>
    <row r="598" spans="3:3" ht="14.4">
      <c r="C598" s="151"/>
    </row>
    <row r="599" spans="3:3" ht="14.4">
      <c r="C599" s="151"/>
    </row>
    <row r="600" spans="3:3" ht="14.4">
      <c r="C600" s="151"/>
    </row>
    <row r="601" spans="3:3" ht="14.4">
      <c r="C601" s="151"/>
    </row>
    <row r="602" spans="3:3" ht="14.4">
      <c r="C602" s="151"/>
    </row>
    <row r="603" spans="3:3" ht="14.4">
      <c r="C603" s="151"/>
    </row>
    <row r="604" spans="3:3" ht="14.4">
      <c r="C604" s="151"/>
    </row>
    <row r="605" spans="3:3" ht="14.4">
      <c r="C605" s="151"/>
    </row>
    <row r="606" spans="3:3" ht="14.4">
      <c r="C606" s="151"/>
    </row>
    <row r="607" spans="3:3" ht="14.4">
      <c r="C607" s="151"/>
    </row>
    <row r="608" spans="3:3" ht="14.4">
      <c r="C608" s="151"/>
    </row>
    <row r="609" spans="3:3" ht="14.4">
      <c r="C609" s="151"/>
    </row>
    <row r="610" spans="3:3" ht="14.4">
      <c r="C610" s="151"/>
    </row>
    <row r="611" spans="3:3" ht="14.4">
      <c r="C611" s="151"/>
    </row>
    <row r="612" spans="3:3" ht="14.4">
      <c r="C612" s="151"/>
    </row>
    <row r="613" spans="3:3" ht="14.4">
      <c r="C613" s="151"/>
    </row>
    <row r="614" spans="3:3" ht="14.4">
      <c r="C614" s="151"/>
    </row>
    <row r="615" spans="3:3" ht="14.4">
      <c r="C615" s="151"/>
    </row>
    <row r="616" spans="3:3" ht="14.4">
      <c r="C616" s="151"/>
    </row>
    <row r="617" spans="3:3" ht="14.4">
      <c r="C617" s="151"/>
    </row>
    <row r="618" spans="3:3" ht="14.4">
      <c r="C618" s="151"/>
    </row>
    <row r="619" spans="3:3" ht="14.4">
      <c r="C619" s="151"/>
    </row>
    <row r="620" spans="3:3" ht="14.4">
      <c r="C620" s="151"/>
    </row>
    <row r="621" spans="3:3" ht="14.4">
      <c r="C621" s="151"/>
    </row>
    <row r="622" spans="3:3" ht="14.4">
      <c r="C622" s="151"/>
    </row>
    <row r="623" spans="3:3" ht="14.4">
      <c r="C623" s="151"/>
    </row>
    <row r="624" spans="3:3" ht="14.4">
      <c r="C624" s="151"/>
    </row>
    <row r="625" spans="3:3" ht="14.4">
      <c r="C625" s="151"/>
    </row>
    <row r="626" spans="3:3" ht="14.4">
      <c r="C626" s="151"/>
    </row>
    <row r="627" spans="3:3" ht="14.4">
      <c r="C627" s="151"/>
    </row>
    <row r="628" spans="3:3" ht="14.4">
      <c r="C628" s="151"/>
    </row>
    <row r="629" spans="3:3" ht="14.4">
      <c r="C629" s="151"/>
    </row>
    <row r="630" spans="3:3" ht="14.4">
      <c r="C630" s="151"/>
    </row>
    <row r="631" spans="3:3" ht="14.4">
      <c r="C631" s="151"/>
    </row>
    <row r="632" spans="3:3" ht="14.4">
      <c r="C632" s="151"/>
    </row>
    <row r="633" spans="3:3" ht="14.4">
      <c r="C633" s="151"/>
    </row>
    <row r="634" spans="3:3" ht="14.4">
      <c r="C634" s="151"/>
    </row>
    <row r="635" spans="3:3" ht="14.4">
      <c r="C635" s="151"/>
    </row>
    <row r="636" spans="3:3" ht="14.4">
      <c r="C636" s="151"/>
    </row>
    <row r="637" spans="3:3" ht="14.4">
      <c r="C637" s="151"/>
    </row>
    <row r="638" spans="3:3" ht="14.4">
      <c r="C638" s="151"/>
    </row>
    <row r="639" spans="3:3" ht="14.4">
      <c r="C639" s="151"/>
    </row>
    <row r="640" spans="3:3" ht="14.4">
      <c r="C640" s="151"/>
    </row>
    <row r="641" spans="3:3" ht="14.4">
      <c r="C641" s="151"/>
    </row>
    <row r="642" spans="3:3" ht="14.4">
      <c r="C642" s="151"/>
    </row>
    <row r="643" spans="3:3" ht="14.4">
      <c r="C643" s="151"/>
    </row>
    <row r="644" spans="3:3" ht="14.4">
      <c r="C644" s="151"/>
    </row>
    <row r="645" spans="3:3" ht="14.4">
      <c r="C645" s="151"/>
    </row>
    <row r="646" spans="3:3" ht="14.4">
      <c r="C646" s="151"/>
    </row>
    <row r="647" spans="3:3" ht="14.4">
      <c r="C647" s="151"/>
    </row>
    <row r="648" spans="3:3" ht="14.4">
      <c r="C648" s="151"/>
    </row>
    <row r="649" spans="3:3" ht="14.4">
      <c r="C649" s="151"/>
    </row>
    <row r="650" spans="3:3" ht="14.4">
      <c r="C650" s="151"/>
    </row>
    <row r="651" spans="3:3" ht="14.4">
      <c r="C651" s="151"/>
    </row>
    <row r="652" spans="3:3" ht="14.4">
      <c r="C652" s="151"/>
    </row>
    <row r="653" spans="3:3" ht="14.4">
      <c r="C653" s="151"/>
    </row>
    <row r="654" spans="3:3" ht="14.4">
      <c r="C654" s="151"/>
    </row>
    <row r="655" spans="3:3" ht="14.4">
      <c r="C655" s="151"/>
    </row>
    <row r="656" spans="3:3" ht="14.4">
      <c r="C656" s="151"/>
    </row>
    <row r="657" spans="3:3" ht="14.4">
      <c r="C657" s="151"/>
    </row>
    <row r="658" spans="3:3" ht="14.4">
      <c r="C658" s="151"/>
    </row>
    <row r="659" spans="3:3" ht="14.4">
      <c r="C659" s="151"/>
    </row>
    <row r="660" spans="3:3" ht="14.4">
      <c r="C660" s="151"/>
    </row>
    <row r="661" spans="3:3" ht="14.4">
      <c r="C661" s="151"/>
    </row>
    <row r="662" spans="3:3" ht="14.4">
      <c r="C662" s="151"/>
    </row>
    <row r="663" spans="3:3" ht="14.4">
      <c r="C663" s="151"/>
    </row>
    <row r="664" spans="3:3" ht="14.4">
      <c r="C664" s="151"/>
    </row>
    <row r="665" spans="3:3" ht="14.4">
      <c r="C665" s="151"/>
    </row>
    <row r="666" spans="3:3" ht="14.4">
      <c r="C666" s="151"/>
    </row>
    <row r="667" spans="3:3" ht="14.4">
      <c r="C667" s="151"/>
    </row>
    <row r="668" spans="3:3" ht="14.4">
      <c r="C668" s="151"/>
    </row>
    <row r="669" spans="3:3" ht="14.4">
      <c r="C669" s="151"/>
    </row>
    <row r="670" spans="3:3" ht="14.4">
      <c r="C670" s="151"/>
    </row>
    <row r="671" spans="3:3" ht="14.4">
      <c r="C671" s="151"/>
    </row>
    <row r="672" spans="3:3" ht="14.4">
      <c r="C672" s="151"/>
    </row>
    <row r="673" spans="3:3" ht="14.4">
      <c r="C673" s="151"/>
    </row>
    <row r="674" spans="3:3" ht="14.4">
      <c r="C674" s="151"/>
    </row>
    <row r="675" spans="3:3" ht="14.4">
      <c r="C675" s="151"/>
    </row>
    <row r="676" spans="3:3" ht="14.4">
      <c r="C676" s="151"/>
    </row>
    <row r="677" spans="3:3" ht="14.4">
      <c r="C677" s="151"/>
    </row>
    <row r="678" spans="3:3" ht="14.4">
      <c r="C678" s="151"/>
    </row>
    <row r="679" spans="3:3" ht="14.4">
      <c r="C679" s="151"/>
    </row>
    <row r="680" spans="3:3" ht="14.4">
      <c r="C680" s="151"/>
    </row>
    <row r="681" spans="3:3" ht="14.4">
      <c r="C681" s="151"/>
    </row>
    <row r="682" spans="3:3" ht="14.4">
      <c r="C682" s="151"/>
    </row>
    <row r="683" spans="3:3" ht="14.4">
      <c r="C683" s="151"/>
    </row>
    <row r="684" spans="3:3" ht="14.4">
      <c r="C684" s="151"/>
    </row>
    <row r="685" spans="3:3" ht="14.4">
      <c r="C685" s="151"/>
    </row>
    <row r="686" spans="3:3" ht="14.4">
      <c r="C686" s="151"/>
    </row>
    <row r="687" spans="3:3" ht="14.4">
      <c r="C687" s="151"/>
    </row>
    <row r="688" spans="3:3" ht="14.4">
      <c r="C688" s="151"/>
    </row>
    <row r="689" spans="3:3" ht="14.4">
      <c r="C689" s="151"/>
    </row>
    <row r="690" spans="3:3" ht="14.4">
      <c r="C690" s="151"/>
    </row>
    <row r="691" spans="3:3" ht="14.4">
      <c r="C691" s="151"/>
    </row>
    <row r="692" spans="3:3" ht="14.4">
      <c r="C692" s="151"/>
    </row>
    <row r="693" spans="3:3" ht="14.4">
      <c r="C693" s="151"/>
    </row>
    <row r="694" spans="3:3" ht="14.4">
      <c r="C694" s="151"/>
    </row>
    <row r="695" spans="3:3" ht="14.4">
      <c r="C695" s="151"/>
    </row>
    <row r="696" spans="3:3" ht="14.4">
      <c r="C696" s="151"/>
    </row>
    <row r="697" spans="3:3" ht="14.4">
      <c r="C697" s="151"/>
    </row>
    <row r="698" spans="3:3" ht="14.4">
      <c r="C698" s="151"/>
    </row>
    <row r="699" spans="3:3" ht="14.4">
      <c r="C699" s="151"/>
    </row>
    <row r="700" spans="3:3" ht="14.4">
      <c r="C700" s="151"/>
    </row>
    <row r="701" spans="3:3" ht="14.4">
      <c r="C701" s="151"/>
    </row>
    <row r="702" spans="3:3" ht="14.4">
      <c r="C702" s="151"/>
    </row>
    <row r="703" spans="3:3" ht="14.4">
      <c r="C703" s="151"/>
    </row>
    <row r="704" spans="3:3" ht="14.4">
      <c r="C704" s="151"/>
    </row>
    <row r="705" spans="3:3" ht="14.4">
      <c r="C705" s="151"/>
    </row>
    <row r="706" spans="3:3" ht="14.4">
      <c r="C706" s="151"/>
    </row>
    <row r="707" spans="3:3" ht="14.4">
      <c r="C707" s="151"/>
    </row>
    <row r="708" spans="3:3" ht="14.4">
      <c r="C708" s="151"/>
    </row>
    <row r="709" spans="3:3" ht="14.4">
      <c r="C709" s="151"/>
    </row>
    <row r="710" spans="3:3" ht="14.4">
      <c r="C710" s="151"/>
    </row>
    <row r="711" spans="3:3" ht="14.4">
      <c r="C711" s="151"/>
    </row>
    <row r="712" spans="3:3" ht="14.4">
      <c r="C712" s="151"/>
    </row>
    <row r="713" spans="3:3" ht="14.4">
      <c r="C713" s="151"/>
    </row>
    <row r="714" spans="3:3" ht="14.4">
      <c r="C714" s="151"/>
    </row>
    <row r="715" spans="3:3" ht="14.4">
      <c r="C715" s="151"/>
    </row>
    <row r="716" spans="3:3" ht="14.4">
      <c r="C716" s="151"/>
    </row>
    <row r="717" spans="3:3" ht="14.4">
      <c r="C717" s="151"/>
    </row>
    <row r="718" spans="3:3" ht="14.4">
      <c r="C718" s="151"/>
    </row>
    <row r="719" spans="3:3" ht="14.4">
      <c r="C719" s="151"/>
    </row>
    <row r="720" spans="3:3" ht="14.4">
      <c r="C720" s="151"/>
    </row>
    <row r="721" spans="3:3" ht="14.4">
      <c r="C721" s="151"/>
    </row>
    <row r="722" spans="3:3" ht="14.4">
      <c r="C722" s="151"/>
    </row>
    <row r="723" spans="3:3" ht="14.4">
      <c r="C723" s="151"/>
    </row>
    <row r="724" spans="3:3" ht="14.4">
      <c r="C724" s="151"/>
    </row>
    <row r="725" spans="3:3" ht="14.4">
      <c r="C725" s="151"/>
    </row>
    <row r="726" spans="3:3" ht="14.4">
      <c r="C726" s="151"/>
    </row>
    <row r="727" spans="3:3" ht="14.4">
      <c r="C727" s="151"/>
    </row>
    <row r="728" spans="3:3" ht="14.4">
      <c r="C728" s="151"/>
    </row>
    <row r="729" spans="3:3" ht="14.4">
      <c r="C729" s="151"/>
    </row>
    <row r="730" spans="3:3" ht="14.4">
      <c r="C730" s="151"/>
    </row>
    <row r="731" spans="3:3" ht="14.4">
      <c r="C731" s="151"/>
    </row>
    <row r="732" spans="3:3" ht="14.4">
      <c r="C732" s="151"/>
    </row>
    <row r="733" spans="3:3" ht="14.4">
      <c r="C733" s="151"/>
    </row>
    <row r="734" spans="3:3" ht="14.4">
      <c r="C734" s="151"/>
    </row>
    <row r="735" spans="3:3" ht="14.4">
      <c r="C735" s="151"/>
    </row>
    <row r="736" spans="3:3" ht="14.4">
      <c r="C736" s="151"/>
    </row>
    <row r="737" spans="3:3" ht="14.4">
      <c r="C737" s="151"/>
    </row>
    <row r="738" spans="3:3" ht="14.4">
      <c r="C738" s="151"/>
    </row>
    <row r="739" spans="3:3" ht="14.4">
      <c r="C739" s="151"/>
    </row>
    <row r="740" spans="3:3" ht="14.4">
      <c r="C740" s="151"/>
    </row>
    <row r="741" spans="3:3" ht="14.4">
      <c r="C741" s="151"/>
    </row>
    <row r="742" spans="3:3" ht="14.4">
      <c r="C742" s="151"/>
    </row>
    <row r="743" spans="3:3" ht="14.4">
      <c r="C743" s="151"/>
    </row>
    <row r="744" spans="3:3" ht="14.4">
      <c r="C744" s="151"/>
    </row>
    <row r="745" spans="3:3" ht="14.4">
      <c r="C745" s="151"/>
    </row>
    <row r="746" spans="3:3" ht="14.4">
      <c r="C746" s="151"/>
    </row>
    <row r="747" spans="3:3" ht="14.4">
      <c r="C747" s="151"/>
    </row>
    <row r="748" spans="3:3" ht="14.4">
      <c r="C748" s="151"/>
    </row>
    <row r="749" spans="3:3" ht="14.4">
      <c r="C749" s="151"/>
    </row>
    <row r="750" spans="3:3" ht="14.4">
      <c r="C750" s="151"/>
    </row>
    <row r="751" spans="3:3" ht="14.4">
      <c r="C751" s="151"/>
    </row>
    <row r="752" spans="3:3" ht="14.4">
      <c r="C752" s="151"/>
    </row>
    <row r="753" spans="3:3" ht="14.4">
      <c r="C753" s="151"/>
    </row>
    <row r="754" spans="3:3" ht="14.4">
      <c r="C754" s="151"/>
    </row>
    <row r="755" spans="3:3" ht="14.4">
      <c r="C755" s="151"/>
    </row>
    <row r="756" spans="3:3" ht="14.4">
      <c r="C756" s="151"/>
    </row>
    <row r="757" spans="3:3" ht="14.4">
      <c r="C757" s="151"/>
    </row>
    <row r="758" spans="3:3" ht="14.4">
      <c r="C758" s="151"/>
    </row>
    <row r="759" spans="3:3" ht="14.4">
      <c r="C759" s="151"/>
    </row>
    <row r="760" spans="3:3" ht="14.4">
      <c r="C760" s="151"/>
    </row>
    <row r="761" spans="3:3" ht="14.4">
      <c r="C761" s="151"/>
    </row>
    <row r="762" spans="3:3" ht="14.4">
      <c r="C762" s="151"/>
    </row>
    <row r="763" spans="3:3" ht="14.4">
      <c r="C763" s="151"/>
    </row>
    <row r="764" spans="3:3" ht="14.4">
      <c r="C764" s="151"/>
    </row>
    <row r="765" spans="3:3" ht="14.4">
      <c r="C765" s="151"/>
    </row>
    <row r="766" spans="3:3" ht="14.4">
      <c r="C766" s="151"/>
    </row>
    <row r="767" spans="3:3" ht="14.4">
      <c r="C767" s="151"/>
    </row>
    <row r="768" spans="3:3" ht="14.4">
      <c r="C768" s="151"/>
    </row>
    <row r="769" spans="3:3" ht="14.4">
      <c r="C769" s="151"/>
    </row>
    <row r="770" spans="3:3" ht="14.4">
      <c r="C770" s="151"/>
    </row>
    <row r="771" spans="3:3" ht="14.4">
      <c r="C771" s="151"/>
    </row>
    <row r="772" spans="3:3" ht="14.4">
      <c r="C772" s="151"/>
    </row>
    <row r="773" spans="3:3" ht="14.4">
      <c r="C773" s="151"/>
    </row>
    <row r="774" spans="3:3" ht="14.4">
      <c r="C774" s="151"/>
    </row>
    <row r="775" spans="3:3" ht="14.4">
      <c r="C775" s="151"/>
    </row>
    <row r="776" spans="3:3" ht="14.4">
      <c r="C776" s="151"/>
    </row>
    <row r="777" spans="3:3" ht="14.4">
      <c r="C777" s="151"/>
    </row>
    <row r="778" spans="3:3" ht="14.4">
      <c r="C778" s="151"/>
    </row>
    <row r="779" spans="3:3" ht="14.4">
      <c r="C779" s="151"/>
    </row>
    <row r="780" spans="3:3" ht="14.4">
      <c r="C780" s="151"/>
    </row>
    <row r="781" spans="3:3" ht="14.4">
      <c r="C781" s="151"/>
    </row>
    <row r="782" spans="3:3" ht="14.4">
      <c r="C782" s="151"/>
    </row>
    <row r="783" spans="3:3" ht="14.4">
      <c r="C783" s="151"/>
    </row>
    <row r="784" spans="3:3" ht="14.4">
      <c r="C784" s="151"/>
    </row>
    <row r="785" spans="3:3" ht="14.4">
      <c r="C785" s="151"/>
    </row>
    <row r="786" spans="3:3" ht="14.4">
      <c r="C786" s="151"/>
    </row>
    <row r="787" spans="3:3" ht="14.4">
      <c r="C787" s="151"/>
    </row>
    <row r="788" spans="3:3" ht="14.4">
      <c r="C788" s="151"/>
    </row>
    <row r="789" spans="3:3" ht="14.4">
      <c r="C789" s="151"/>
    </row>
    <row r="790" spans="3:3" ht="14.4">
      <c r="C790" s="151"/>
    </row>
    <row r="791" spans="3:3" ht="14.4">
      <c r="C791" s="151"/>
    </row>
    <row r="792" spans="3:3" ht="14.4">
      <c r="C792" s="151"/>
    </row>
    <row r="793" spans="3:3" ht="14.4">
      <c r="C793" s="151"/>
    </row>
    <row r="794" spans="3:3" ht="14.4">
      <c r="C794" s="151"/>
    </row>
    <row r="795" spans="3:3" ht="14.4">
      <c r="C795" s="151"/>
    </row>
    <row r="796" spans="3:3" ht="14.4">
      <c r="C796" s="151"/>
    </row>
    <row r="797" spans="3:3" ht="14.4">
      <c r="C797" s="151"/>
    </row>
    <row r="798" spans="3:3" ht="14.4">
      <c r="C798" s="151"/>
    </row>
    <row r="799" spans="3:3" ht="14.4">
      <c r="C799" s="151"/>
    </row>
    <row r="800" spans="3:3" ht="14.4">
      <c r="C800" s="151"/>
    </row>
    <row r="801" spans="3:3" ht="14.4">
      <c r="C801" s="151"/>
    </row>
    <row r="802" spans="3:3" ht="14.4">
      <c r="C802" s="151"/>
    </row>
    <row r="803" spans="3:3" ht="14.4">
      <c r="C803" s="151"/>
    </row>
    <row r="804" spans="3:3" ht="14.4">
      <c r="C804" s="151"/>
    </row>
    <row r="805" spans="3:3" ht="14.4">
      <c r="C805" s="151"/>
    </row>
    <row r="806" spans="3:3" ht="14.4">
      <c r="C806" s="151"/>
    </row>
    <row r="807" spans="3:3" ht="14.4">
      <c r="C807" s="151"/>
    </row>
    <row r="808" spans="3:3" ht="14.4">
      <c r="C808" s="151"/>
    </row>
    <row r="809" spans="3:3" ht="14.4">
      <c r="C809" s="151"/>
    </row>
    <row r="810" spans="3:3" ht="14.4">
      <c r="C810" s="151"/>
    </row>
    <row r="811" spans="3:3" ht="14.4">
      <c r="C811" s="151"/>
    </row>
    <row r="812" spans="3:3" ht="14.4">
      <c r="C812" s="151"/>
    </row>
    <row r="813" spans="3:3" ht="14.4">
      <c r="C813" s="151"/>
    </row>
    <row r="814" spans="3:3" ht="14.4">
      <c r="C814" s="151"/>
    </row>
    <row r="815" spans="3:3" ht="14.4">
      <c r="C815" s="151"/>
    </row>
    <row r="816" spans="3:3" ht="14.4">
      <c r="C816" s="151"/>
    </row>
    <row r="817" spans="3:3" ht="14.4">
      <c r="C817" s="151"/>
    </row>
    <row r="818" spans="3:3" ht="14.4">
      <c r="C818" s="151"/>
    </row>
    <row r="819" spans="3:3" ht="14.4">
      <c r="C819" s="151"/>
    </row>
    <row r="820" spans="3:3" ht="14.4">
      <c r="C820" s="151"/>
    </row>
    <row r="821" spans="3:3" ht="14.4">
      <c r="C821" s="151"/>
    </row>
    <row r="822" spans="3:3" ht="14.4">
      <c r="C822" s="151"/>
    </row>
    <row r="823" spans="3:3" ht="14.4">
      <c r="C823" s="151"/>
    </row>
    <row r="824" spans="3:3" ht="14.4">
      <c r="C824" s="151"/>
    </row>
    <row r="825" spans="3:3" ht="14.4">
      <c r="C825" s="151"/>
    </row>
    <row r="826" spans="3:3" ht="14.4">
      <c r="C826" s="151"/>
    </row>
    <row r="827" spans="3:3" ht="14.4">
      <c r="C827" s="151"/>
    </row>
    <row r="828" spans="3:3" ht="14.4">
      <c r="C828" s="151"/>
    </row>
    <row r="829" spans="3:3" ht="14.4">
      <c r="C829" s="151"/>
    </row>
    <row r="830" spans="3:3" ht="14.4">
      <c r="C830" s="151"/>
    </row>
    <row r="831" spans="3:3" ht="14.4">
      <c r="C831" s="151"/>
    </row>
    <row r="832" spans="3:3" ht="14.4">
      <c r="C832" s="151"/>
    </row>
    <row r="833" spans="3:3" ht="14.4">
      <c r="C833" s="151"/>
    </row>
    <row r="834" spans="3:3" ht="14.4">
      <c r="C834" s="151"/>
    </row>
    <row r="835" spans="3:3" ht="14.4">
      <c r="C835" s="151"/>
    </row>
    <row r="836" spans="3:3" ht="14.4">
      <c r="C836" s="151"/>
    </row>
    <row r="837" spans="3:3" ht="14.4">
      <c r="C837" s="151"/>
    </row>
    <row r="838" spans="3:3" ht="14.4">
      <c r="C838" s="151"/>
    </row>
    <row r="839" spans="3:3" ht="14.4">
      <c r="C839" s="151"/>
    </row>
    <row r="840" spans="3:3" ht="14.4">
      <c r="C840" s="151"/>
    </row>
    <row r="841" spans="3:3" ht="14.4">
      <c r="C841" s="151"/>
    </row>
    <row r="842" spans="3:3" ht="14.4">
      <c r="C842" s="151"/>
    </row>
    <row r="843" spans="3:3" ht="14.4">
      <c r="C843" s="151"/>
    </row>
    <row r="844" spans="3:3" ht="14.4">
      <c r="C844" s="151"/>
    </row>
    <row r="845" spans="3:3" ht="14.4">
      <c r="C845" s="151"/>
    </row>
    <row r="846" spans="3:3" ht="14.4">
      <c r="C846" s="151"/>
    </row>
    <row r="847" spans="3:3" ht="14.4">
      <c r="C847" s="151"/>
    </row>
    <row r="848" spans="3:3" ht="14.4">
      <c r="C848" s="151"/>
    </row>
    <row r="849" spans="3:3" ht="14.4">
      <c r="C849" s="151"/>
    </row>
    <row r="850" spans="3:3" ht="14.4">
      <c r="C850" s="151"/>
    </row>
    <row r="851" spans="3:3" ht="14.4">
      <c r="C851" s="151"/>
    </row>
    <row r="852" spans="3:3" ht="14.4">
      <c r="C852" s="151"/>
    </row>
    <row r="853" spans="3:3" ht="14.4">
      <c r="C853" s="151"/>
    </row>
    <row r="854" spans="3:3" ht="14.4">
      <c r="C854" s="151"/>
    </row>
    <row r="855" spans="3:3" ht="14.4">
      <c r="C855" s="151"/>
    </row>
    <row r="856" spans="3:3" ht="14.4">
      <c r="C856" s="151"/>
    </row>
    <row r="857" spans="3:3" ht="14.4">
      <c r="C857" s="151"/>
    </row>
    <row r="858" spans="3:3" ht="14.4">
      <c r="C858" s="151"/>
    </row>
    <row r="859" spans="3:3" ht="14.4">
      <c r="C859" s="151"/>
    </row>
    <row r="860" spans="3:3" ht="14.4">
      <c r="C860" s="151"/>
    </row>
    <row r="861" spans="3:3" ht="14.4">
      <c r="C861" s="151"/>
    </row>
    <row r="862" spans="3:3" ht="14.4">
      <c r="C862" s="151"/>
    </row>
    <row r="863" spans="3:3" ht="14.4">
      <c r="C863" s="151"/>
    </row>
    <row r="864" spans="3:3" ht="14.4">
      <c r="C864" s="151"/>
    </row>
    <row r="865" spans="3:3" ht="14.4">
      <c r="C865" s="151"/>
    </row>
    <row r="866" spans="3:3" ht="14.4">
      <c r="C866" s="151"/>
    </row>
    <row r="867" spans="3:3" ht="14.4">
      <c r="C867" s="151"/>
    </row>
    <row r="868" spans="3:3" ht="14.4">
      <c r="C868" s="151"/>
    </row>
    <row r="869" spans="3:3" ht="14.4">
      <c r="C869" s="151"/>
    </row>
    <row r="870" spans="3:3" ht="14.4">
      <c r="C870" s="151"/>
    </row>
    <row r="871" spans="3:3" ht="14.4">
      <c r="C871" s="151"/>
    </row>
    <row r="872" spans="3:3" ht="14.4">
      <c r="C872" s="151"/>
    </row>
    <row r="873" spans="3:3" ht="14.4">
      <c r="C873" s="151"/>
    </row>
    <row r="874" spans="3:3" ht="14.4">
      <c r="C874" s="151"/>
    </row>
    <row r="875" spans="3:3" ht="14.4">
      <c r="C875" s="151"/>
    </row>
    <row r="876" spans="3:3" ht="14.4">
      <c r="C876" s="151"/>
    </row>
    <row r="877" spans="3:3" ht="14.4">
      <c r="C877" s="151"/>
    </row>
    <row r="878" spans="3:3" ht="14.4">
      <c r="C878" s="151"/>
    </row>
    <row r="879" spans="3:3" ht="14.4">
      <c r="C879" s="151"/>
    </row>
    <row r="880" spans="3:3" ht="14.4">
      <c r="C880" s="151"/>
    </row>
    <row r="881" spans="3:3" ht="14.4">
      <c r="C881" s="151"/>
    </row>
    <row r="882" spans="3:3" ht="14.4">
      <c r="C882" s="151"/>
    </row>
    <row r="883" spans="3:3" ht="14.4">
      <c r="C883" s="151"/>
    </row>
    <row r="884" spans="3:3" ht="14.4">
      <c r="C884" s="151"/>
    </row>
    <row r="885" spans="3:3" ht="14.4">
      <c r="C885" s="151"/>
    </row>
    <row r="886" spans="3:3" ht="14.4">
      <c r="C886" s="151"/>
    </row>
    <row r="887" spans="3:3" ht="14.4">
      <c r="C887" s="151"/>
    </row>
    <row r="888" spans="3:3" ht="14.4">
      <c r="C888" s="151"/>
    </row>
    <row r="889" spans="3:3" ht="14.4">
      <c r="C889" s="151"/>
    </row>
    <row r="890" spans="3:3" ht="14.4">
      <c r="C890" s="151"/>
    </row>
    <row r="891" spans="3:3" ht="14.4">
      <c r="C891" s="151"/>
    </row>
    <row r="892" spans="3:3" ht="14.4">
      <c r="C892" s="151"/>
    </row>
    <row r="893" spans="3:3" ht="14.4">
      <c r="C893" s="151"/>
    </row>
    <row r="894" spans="3:3" ht="14.4">
      <c r="C894" s="151"/>
    </row>
    <row r="895" spans="3:3" ht="14.4">
      <c r="C895" s="151"/>
    </row>
    <row r="896" spans="3:3" ht="14.4">
      <c r="C896" s="151"/>
    </row>
    <row r="897" spans="3:3" ht="14.4">
      <c r="C897" s="151"/>
    </row>
    <row r="898" spans="3:3" ht="14.4">
      <c r="C898" s="151"/>
    </row>
    <row r="899" spans="3:3" ht="14.4">
      <c r="C899" s="151"/>
    </row>
    <row r="900" spans="3:3" ht="14.4">
      <c r="C900" s="151"/>
    </row>
    <row r="901" spans="3:3" ht="14.4">
      <c r="C901" s="151"/>
    </row>
    <row r="902" spans="3:3" ht="14.4">
      <c r="C902" s="151"/>
    </row>
    <row r="903" spans="3:3" ht="14.4">
      <c r="C903" s="151"/>
    </row>
    <row r="904" spans="3:3" ht="14.4">
      <c r="C904" s="151"/>
    </row>
    <row r="905" spans="3:3" ht="14.4">
      <c r="C905" s="151"/>
    </row>
    <row r="906" spans="3:3" ht="14.4">
      <c r="C906" s="151"/>
    </row>
    <row r="907" spans="3:3" ht="14.4">
      <c r="C907" s="151"/>
    </row>
    <row r="908" spans="3:3" ht="14.4">
      <c r="C908" s="151"/>
    </row>
    <row r="909" spans="3:3" ht="14.4">
      <c r="C909" s="151"/>
    </row>
    <row r="910" spans="3:3" ht="14.4">
      <c r="C910" s="151"/>
    </row>
    <row r="911" spans="3:3" ht="14.4">
      <c r="C911" s="151"/>
    </row>
    <row r="912" spans="3:3" ht="14.4">
      <c r="C912" s="151"/>
    </row>
    <row r="913" spans="3:3" ht="14.4">
      <c r="C913" s="151"/>
    </row>
    <row r="914" spans="3:3" ht="14.4">
      <c r="C914" s="151"/>
    </row>
    <row r="915" spans="3:3" ht="14.4">
      <c r="C915" s="151"/>
    </row>
    <row r="916" spans="3:3" ht="14.4">
      <c r="C916" s="151"/>
    </row>
    <row r="917" spans="3:3" ht="14.4">
      <c r="C917" s="151"/>
    </row>
    <row r="918" spans="3:3" ht="14.4">
      <c r="C918" s="151"/>
    </row>
    <row r="919" spans="3:3" ht="14.4">
      <c r="C919" s="151"/>
    </row>
    <row r="920" spans="3:3" ht="14.4">
      <c r="C920" s="151"/>
    </row>
    <row r="921" spans="3:3" ht="14.4">
      <c r="C921" s="151"/>
    </row>
    <row r="922" spans="3:3" ht="14.4">
      <c r="C922" s="151"/>
    </row>
    <row r="923" spans="3:3" ht="14.4">
      <c r="C923" s="151"/>
    </row>
    <row r="924" spans="3:3" ht="14.4">
      <c r="C924" s="151"/>
    </row>
    <row r="925" spans="3:3" ht="14.4">
      <c r="C925" s="151"/>
    </row>
    <row r="926" spans="3:3" ht="14.4">
      <c r="C926" s="151"/>
    </row>
    <row r="927" spans="3:3" ht="14.4">
      <c r="C927" s="151"/>
    </row>
    <row r="928" spans="3:3" ht="14.4">
      <c r="C928" s="151"/>
    </row>
    <row r="929" spans="3:3" ht="14.4">
      <c r="C929" s="151"/>
    </row>
    <row r="930" spans="3:3" ht="14.4">
      <c r="C930" s="151"/>
    </row>
    <row r="931" spans="3:3" ht="14.4">
      <c r="C931" s="151"/>
    </row>
    <row r="932" spans="3:3" ht="14.4">
      <c r="C932" s="151"/>
    </row>
    <row r="933" spans="3:3" ht="14.4">
      <c r="C933" s="151"/>
    </row>
    <row r="934" spans="3:3" ht="14.4">
      <c r="C934" s="151"/>
    </row>
    <row r="935" spans="3:3" ht="14.4">
      <c r="C935" s="151"/>
    </row>
    <row r="936" spans="3:3" ht="14.4">
      <c r="C936" s="151"/>
    </row>
    <row r="937" spans="3:3" ht="14.4">
      <c r="C937" s="151"/>
    </row>
    <row r="938" spans="3:3" ht="14.4">
      <c r="C938" s="151"/>
    </row>
    <row r="939" spans="3:3" ht="14.4">
      <c r="C939" s="151"/>
    </row>
    <row r="940" spans="3:3" ht="14.4">
      <c r="C940" s="151"/>
    </row>
    <row r="941" spans="3:3" ht="14.4">
      <c r="C941" s="151"/>
    </row>
    <row r="942" spans="3:3" ht="14.4">
      <c r="C942" s="151"/>
    </row>
    <row r="943" spans="3:3" ht="14.4">
      <c r="C943" s="151"/>
    </row>
    <row r="944" spans="3:3" ht="14.4">
      <c r="C944" s="151"/>
    </row>
    <row r="945" spans="3:3" ht="14.4">
      <c r="C945" s="151"/>
    </row>
    <row r="946" spans="3:3" ht="14.4">
      <c r="C946" s="151"/>
    </row>
    <row r="947" spans="3:3" ht="14.4">
      <c r="C947" s="151"/>
    </row>
    <row r="948" spans="3:3" ht="14.4">
      <c r="C948" s="151"/>
    </row>
    <row r="949" spans="3:3" ht="14.4">
      <c r="C949" s="151"/>
    </row>
    <row r="950" spans="3:3" ht="14.4">
      <c r="C950" s="151"/>
    </row>
    <row r="951" spans="3:3" ht="14.4">
      <c r="C951" s="151"/>
    </row>
    <row r="952" spans="3:3" ht="14.4">
      <c r="C952" s="151"/>
    </row>
    <row r="953" spans="3:3" ht="14.4">
      <c r="C953" s="151"/>
    </row>
    <row r="954" spans="3:3" ht="14.4">
      <c r="C954" s="151"/>
    </row>
    <row r="955" spans="3:3" ht="14.4">
      <c r="C955" s="151"/>
    </row>
    <row r="956" spans="3:3" ht="14.4">
      <c r="C956" s="151"/>
    </row>
    <row r="957" spans="3:3" ht="14.4">
      <c r="C957" s="151"/>
    </row>
    <row r="958" spans="3:3" ht="14.4">
      <c r="C958" s="151"/>
    </row>
    <row r="959" spans="3:3" ht="14.4">
      <c r="C959" s="151"/>
    </row>
    <row r="960" spans="3:3" ht="14.4">
      <c r="C960" s="151"/>
    </row>
    <row r="961" spans="3:3" ht="14.4">
      <c r="C961" s="151"/>
    </row>
    <row r="962" spans="3:3" ht="14.4">
      <c r="C962" s="151"/>
    </row>
    <row r="963" spans="3:3" ht="14.4">
      <c r="C963" s="151"/>
    </row>
    <row r="964" spans="3:3" ht="14.4">
      <c r="C964" s="151"/>
    </row>
    <row r="965" spans="3:3" ht="14.4">
      <c r="C965" s="151"/>
    </row>
    <row r="966" spans="3:3" ht="14.4">
      <c r="C966" s="151"/>
    </row>
    <row r="967" spans="3:3" ht="14.4">
      <c r="C967" s="151"/>
    </row>
    <row r="968" spans="3:3" ht="14.4">
      <c r="C968" s="151"/>
    </row>
    <row r="969" spans="3:3" ht="14.4">
      <c r="C969" s="151"/>
    </row>
    <row r="970" spans="3:3" ht="14.4">
      <c r="C970" s="151"/>
    </row>
    <row r="971" spans="3:3" ht="14.4">
      <c r="C971" s="151"/>
    </row>
    <row r="972" spans="3:3" ht="14.4">
      <c r="C972" s="151"/>
    </row>
    <row r="973" spans="3:3" ht="14.4">
      <c r="C973" s="151"/>
    </row>
    <row r="974" spans="3:3" ht="14.4">
      <c r="C974" s="151"/>
    </row>
    <row r="975" spans="3:3" ht="14.4">
      <c r="C975" s="151"/>
    </row>
    <row r="976" spans="3:3" ht="14.4">
      <c r="C976" s="151"/>
    </row>
    <row r="977" spans="3:3" ht="14.4">
      <c r="C977" s="151"/>
    </row>
    <row r="978" spans="3:3" ht="14.4">
      <c r="C978" s="151"/>
    </row>
    <row r="979" spans="3:3" ht="14.4">
      <c r="C979" s="151"/>
    </row>
    <row r="980" spans="3:3" ht="14.4">
      <c r="C980" s="151"/>
    </row>
    <row r="981" spans="3:3" ht="14.4">
      <c r="C981" s="151"/>
    </row>
    <row r="982" spans="3:3" ht="14.4">
      <c r="C982" s="151"/>
    </row>
    <row r="983" spans="3:3" ht="14.4">
      <c r="C983" s="151"/>
    </row>
    <row r="984" spans="3:3" ht="14.4">
      <c r="C984" s="151"/>
    </row>
    <row r="985" spans="3:3" ht="14.4">
      <c r="C985" s="151"/>
    </row>
    <row r="986" spans="3:3" ht="14.4">
      <c r="C986" s="151"/>
    </row>
    <row r="987" spans="3:3" ht="14.4">
      <c r="C987" s="151"/>
    </row>
    <row r="988" spans="3:3" ht="14.4">
      <c r="C988" s="151"/>
    </row>
    <row r="989" spans="3:3" ht="14.4">
      <c r="C989" s="151"/>
    </row>
    <row r="990" spans="3:3" ht="14.4">
      <c r="C990" s="151"/>
    </row>
    <row r="991" spans="3:3" ht="14.4">
      <c r="C991" s="151"/>
    </row>
    <row r="992" spans="3:3" ht="14.4">
      <c r="C992" s="151"/>
    </row>
    <row r="993" spans="3:3" ht="14.4">
      <c r="C993" s="151"/>
    </row>
    <row r="994" spans="3:3" ht="14.4">
      <c r="C994" s="151"/>
    </row>
    <row r="995" spans="3:3" ht="14.4">
      <c r="C995" s="151"/>
    </row>
    <row r="996" spans="3:3" ht="14.4">
      <c r="C996" s="151"/>
    </row>
    <row r="997" spans="3:3" ht="14.4">
      <c r="C997" s="151"/>
    </row>
    <row r="998" spans="3:3" ht="14.4">
      <c r="C998" s="151"/>
    </row>
    <row r="999" spans="3:3" ht="14.4">
      <c r="C999" s="151"/>
    </row>
    <row r="1000" spans="3:3" ht="14.4">
      <c r="C1000" s="151"/>
    </row>
  </sheetData>
  <mergeCells count="23">
    <mergeCell ref="A2:A3"/>
    <mergeCell ref="A4:A5"/>
    <mergeCell ref="A6:A7"/>
    <mergeCell ref="D7:E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40:A41"/>
    <mergeCell ref="D41:E41"/>
    <mergeCell ref="A28:A29"/>
    <mergeCell ref="A30:A31"/>
    <mergeCell ref="A32:A33"/>
    <mergeCell ref="A34:A35"/>
    <mergeCell ref="A36:A37"/>
    <mergeCell ref="D37:E37"/>
    <mergeCell ref="A38:A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 hop</vt:lpstr>
      <vt:lpstr>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Tuan Long</cp:lastModifiedBy>
  <dcterms:created xsi:type="dcterms:W3CDTF">2006-09-16T00:00:00Z</dcterms:created>
  <dcterms:modified xsi:type="dcterms:W3CDTF">2026-07-01T07:22:08Z</dcterms:modified>
</cp:coreProperties>
</file>